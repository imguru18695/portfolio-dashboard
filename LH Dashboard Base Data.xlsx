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gb26553_eid_utexas_edu/Documents/IB Files/McCombs MBA/0. Course Materials/2. Spring 2026 - 1/3. TMIA/Daily Updates/Dashboard Project/"/>
    </mc:Choice>
  </mc:AlternateContent>
  <xr:revisionPtr revIDLastSave="12" documentId="8_{3C143C80-BA8E-4D1C-A50E-9D05C8F3141B}" xr6:coauthVersionLast="47" xr6:coauthVersionMax="47" xr10:uidLastSave="{90DDA349-1A78-4035-9D4D-6F3457DEFF1D}"/>
  <bookViews>
    <workbookView xWindow="-108" yWindow="-108" windowWidth="23256" windowHeight="12456" activeTab="1" xr2:uid="{49BC9446-880B-42F5-AF25-53EC29600E93}"/>
  </bookViews>
  <sheets>
    <sheet name="Index Data" sheetId="4" r:id="rId1"/>
    <sheet name="LH Holding" sheetId="1" r:id="rId2"/>
    <sheet name="Price &amp; Other Market Data" sheetId="3" r:id="rId3"/>
    <sheet name="LH_Holding_Custody T" sheetId="2" r:id="rId4"/>
  </sheets>
  <definedNames>
    <definedName name="_xlnm._FilterDatabase" localSheetId="3" hidden="1">'LH_Holding_Custody T'!$A$1:$P$78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C5" i="4"/>
  <c r="C6" i="4"/>
  <c r="C7" i="4"/>
  <c r="C8" i="4"/>
  <c r="C4" i="4"/>
  <c r="B5" i="4"/>
  <c r="B6" i="4"/>
  <c r="B7" i="4"/>
  <c r="B8" i="4"/>
  <c r="B4" i="4"/>
  <c r="B1" i="4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6" i="1"/>
  <c r="I3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M6" i="1"/>
  <c r="L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6" i="1"/>
  <c r="H1" i="1"/>
  <c r="H3" i="1"/>
  <c r="C7" i="1"/>
  <c r="D7" i="1" s="1"/>
  <c r="C8" i="1"/>
  <c r="G8" i="1" s="1"/>
  <c r="C9" i="1"/>
  <c r="G9" i="1" s="1"/>
  <c r="C10" i="1"/>
  <c r="G10" i="1" s="1"/>
  <c r="C11" i="1"/>
  <c r="G11" i="1" s="1"/>
  <c r="C12" i="1"/>
  <c r="D12" i="1" s="1"/>
  <c r="C13" i="1"/>
  <c r="D13" i="1" s="1"/>
  <c r="C14" i="1"/>
  <c r="G14" i="1" s="1"/>
  <c r="C15" i="1"/>
  <c r="G15" i="1" s="1"/>
  <c r="C16" i="1"/>
  <c r="G16" i="1" s="1"/>
  <c r="C17" i="1"/>
  <c r="G17" i="1" s="1"/>
  <c r="C18" i="1"/>
  <c r="G18" i="1" s="1"/>
  <c r="C19" i="1"/>
  <c r="G19" i="1" s="1"/>
  <c r="C20" i="1"/>
  <c r="D20" i="1" s="1"/>
  <c r="C21" i="1"/>
  <c r="D21" i="1" s="1"/>
  <c r="C22" i="1"/>
  <c r="G22" i="1" s="1"/>
  <c r="C23" i="1"/>
  <c r="D23" i="1" s="1"/>
  <c r="C24" i="1"/>
  <c r="G24" i="1" s="1"/>
  <c r="C25" i="1"/>
  <c r="G25" i="1" s="1"/>
  <c r="C26" i="1"/>
  <c r="G26" i="1" s="1"/>
  <c r="C27" i="1"/>
  <c r="G27" i="1" s="1"/>
  <c r="C28" i="1"/>
  <c r="D28" i="1" s="1"/>
  <c r="C29" i="1"/>
  <c r="D29" i="1" s="1"/>
  <c r="C30" i="1"/>
  <c r="G30" i="1" s="1"/>
  <c r="C31" i="1"/>
  <c r="D31" i="1" s="1"/>
  <c r="C32" i="1"/>
  <c r="G32" i="1" s="1"/>
  <c r="C33" i="1"/>
  <c r="G33" i="1" s="1"/>
  <c r="C34" i="1"/>
  <c r="G34" i="1" s="1"/>
  <c r="C35" i="1"/>
  <c r="G35" i="1" s="1"/>
  <c r="C36" i="1"/>
  <c r="D36" i="1" s="1"/>
  <c r="C37" i="1"/>
  <c r="D37" i="1" s="1"/>
  <c r="C38" i="1"/>
  <c r="G38" i="1" s="1"/>
  <c r="C39" i="1"/>
  <c r="G39" i="1" s="1"/>
  <c r="C40" i="1"/>
  <c r="G40" i="1" s="1"/>
  <c r="C41" i="1"/>
  <c r="G41" i="1" s="1"/>
  <c r="C42" i="1"/>
  <c r="G42" i="1" s="1"/>
  <c r="C43" i="1"/>
  <c r="G43" i="1" s="1"/>
  <c r="C44" i="1"/>
  <c r="D44" i="1" s="1"/>
  <c r="C45" i="1"/>
  <c r="D45" i="1" s="1"/>
  <c r="C46" i="1"/>
  <c r="G46" i="1" s="1"/>
  <c r="C47" i="1"/>
  <c r="G47" i="1" s="1"/>
  <c r="C48" i="1"/>
  <c r="G48" i="1" s="1"/>
  <c r="C49" i="1"/>
  <c r="G49" i="1" s="1"/>
  <c r="C50" i="1"/>
  <c r="G50" i="1" s="1"/>
  <c r="C51" i="1"/>
  <c r="G51" i="1" s="1"/>
  <c r="C52" i="1"/>
  <c r="D52" i="1" s="1"/>
  <c r="C53" i="1"/>
  <c r="D53" i="1" s="1"/>
  <c r="C54" i="1"/>
  <c r="G54" i="1" s="1"/>
  <c r="C55" i="1"/>
  <c r="D55" i="1" s="1"/>
  <c r="C56" i="1"/>
  <c r="G56" i="1" s="1"/>
  <c r="C57" i="1"/>
  <c r="G57" i="1" s="1"/>
  <c r="C58" i="1"/>
  <c r="G58" i="1" s="1"/>
  <c r="C59" i="1"/>
  <c r="G59" i="1" s="1"/>
  <c r="C60" i="1"/>
  <c r="D60" i="1" s="1"/>
  <c r="C61" i="1"/>
  <c r="D61" i="1" s="1"/>
  <c r="C62" i="1"/>
  <c r="G62" i="1" s="1"/>
  <c r="C63" i="1"/>
  <c r="G63" i="1" s="1"/>
  <c r="C64" i="1"/>
  <c r="G64" i="1" s="1"/>
  <c r="C65" i="1"/>
  <c r="G65" i="1" s="1"/>
  <c r="C66" i="1"/>
  <c r="G66" i="1" s="1"/>
  <c r="C67" i="1"/>
  <c r="G67" i="1" s="1"/>
  <c r="C68" i="1"/>
  <c r="D68" i="1" s="1"/>
  <c r="C69" i="1"/>
  <c r="D69" i="1" s="1"/>
  <c r="C70" i="1"/>
  <c r="G70" i="1" s="1"/>
  <c r="C71" i="1"/>
  <c r="G71" i="1" s="1"/>
  <c r="C72" i="1"/>
  <c r="G72" i="1" s="1"/>
  <c r="C73" i="1"/>
  <c r="G73" i="1" s="1"/>
  <c r="C74" i="1"/>
  <c r="G74" i="1" s="1"/>
  <c r="C75" i="1"/>
  <c r="G75" i="1" s="1"/>
  <c r="C76" i="1"/>
  <c r="D76" i="1" s="1"/>
  <c r="C6" i="1"/>
  <c r="D6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6" i="1"/>
  <c r="D14" i="1"/>
  <c r="D15" i="1"/>
  <c r="D17" i="1"/>
  <c r="D18" i="1"/>
  <c r="D26" i="1"/>
  <c r="D30" i="1"/>
  <c r="D32" i="1"/>
  <c r="D34" i="1"/>
  <c r="D39" i="1"/>
  <c r="D47" i="1"/>
  <c r="D58" i="1"/>
  <c r="D7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6" i="1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D62" i="1" l="1"/>
  <c r="D22" i="1"/>
  <c r="D70" i="1"/>
  <c r="D46" i="1"/>
  <c r="D27" i="1"/>
  <c r="D11" i="1"/>
  <c r="D67" i="1"/>
  <c r="D43" i="1"/>
  <c r="D59" i="1"/>
  <c r="D38" i="1"/>
  <c r="D19" i="1"/>
  <c r="H67" i="1"/>
  <c r="H59" i="1"/>
  <c r="H51" i="1"/>
  <c r="H43" i="1"/>
  <c r="H35" i="1"/>
  <c r="H27" i="1"/>
  <c r="D35" i="1"/>
  <c r="D54" i="1"/>
  <c r="D75" i="1"/>
  <c r="D51" i="1"/>
  <c r="H62" i="1"/>
  <c r="D73" i="1"/>
  <c r="D41" i="1"/>
  <c r="H8" i="1"/>
  <c r="D57" i="1"/>
  <c r="D25" i="1"/>
  <c r="D9" i="1"/>
  <c r="H54" i="1"/>
  <c r="H46" i="1"/>
  <c r="D65" i="1"/>
  <c r="D49" i="1"/>
  <c r="G23" i="1"/>
  <c r="D64" i="1"/>
  <c r="D33" i="1"/>
  <c r="H70" i="1"/>
  <c r="H38" i="1"/>
  <c r="H30" i="1"/>
  <c r="H22" i="1"/>
  <c r="H14" i="1"/>
  <c r="D74" i="1"/>
  <c r="D63" i="1"/>
  <c r="G28" i="1"/>
  <c r="H28" i="1" s="1"/>
  <c r="H19" i="1"/>
  <c r="H11" i="1"/>
  <c r="G44" i="1"/>
  <c r="H44" i="1" s="1"/>
  <c r="G20" i="1"/>
  <c r="H20" i="1" s="1"/>
  <c r="D42" i="1"/>
  <c r="H74" i="1"/>
  <c r="H66" i="1"/>
  <c r="H58" i="1"/>
  <c r="H50" i="1"/>
  <c r="H42" i="1"/>
  <c r="H34" i="1"/>
  <c r="H26" i="1"/>
  <c r="H18" i="1"/>
  <c r="H10" i="1"/>
  <c r="G60" i="1"/>
  <c r="H60" i="1" s="1"/>
  <c r="D66" i="1"/>
  <c r="G55" i="1"/>
  <c r="H55" i="1" s="1"/>
  <c r="G36" i="1"/>
  <c r="H36" i="1" s="1"/>
  <c r="G31" i="1"/>
  <c r="H31" i="1" s="1"/>
  <c r="G12" i="1"/>
  <c r="H12" i="1" s="1"/>
  <c r="G68" i="1"/>
  <c r="H68" i="1" s="1"/>
  <c r="D50" i="1"/>
  <c r="D10" i="1"/>
  <c r="H71" i="1"/>
  <c r="H63" i="1"/>
  <c r="H47" i="1"/>
  <c r="H39" i="1"/>
  <c r="H23" i="1"/>
  <c r="H15" i="1"/>
  <c r="G52" i="1"/>
  <c r="H52" i="1" s="1"/>
  <c r="G7" i="1"/>
  <c r="H7" i="1" s="1"/>
  <c r="H75" i="1"/>
  <c r="H73" i="1"/>
  <c r="H65" i="1"/>
  <c r="H57" i="1"/>
  <c r="H49" i="1"/>
  <c r="H41" i="1"/>
  <c r="H33" i="1"/>
  <c r="H25" i="1"/>
  <c r="H9" i="1"/>
  <c r="H72" i="1"/>
  <c r="H64" i="1"/>
  <c r="H56" i="1"/>
  <c r="H48" i="1"/>
  <c r="H40" i="1"/>
  <c r="H32" i="1"/>
  <c r="H24" i="1"/>
  <c r="H16" i="1"/>
  <c r="H17" i="1"/>
  <c r="D8" i="1"/>
  <c r="D72" i="1"/>
  <c r="D40" i="1"/>
  <c r="G6" i="1"/>
  <c r="H6" i="1" s="1"/>
  <c r="G69" i="1"/>
  <c r="H69" i="1" s="1"/>
  <c r="G61" i="1"/>
  <c r="H61" i="1" s="1"/>
  <c r="G53" i="1"/>
  <c r="H53" i="1" s="1"/>
  <c r="G45" i="1"/>
  <c r="H45" i="1" s="1"/>
  <c r="G37" i="1"/>
  <c r="H37" i="1" s="1"/>
  <c r="G29" i="1"/>
  <c r="H29" i="1" s="1"/>
  <c r="G21" i="1"/>
  <c r="H21" i="1" s="1"/>
  <c r="G13" i="1"/>
  <c r="H13" i="1" s="1"/>
  <c r="G76" i="1"/>
  <c r="H76" i="1" s="1"/>
  <c r="D48" i="1"/>
  <c r="D24" i="1"/>
  <c r="D16" i="1"/>
  <c r="D56" i="1"/>
</calcChain>
</file>

<file path=xl/sharedStrings.xml><?xml version="1.0" encoding="utf-8"?>
<sst xmlns="http://schemas.openxmlformats.org/spreadsheetml/2006/main" count="939" uniqueCount="438">
  <si>
    <t>Description</t>
  </si>
  <si>
    <t>Price  T</t>
  </si>
  <si>
    <t>Market Val T</t>
  </si>
  <si>
    <t>Weight T</t>
  </si>
  <si>
    <t>Ticker</t>
  </si>
  <si>
    <t>BBG Ticker</t>
  </si>
  <si>
    <t>Google Ticker</t>
  </si>
  <si>
    <t>Holdings</t>
  </si>
  <si>
    <t>Date</t>
  </si>
  <si>
    <t>META PLATFORMS INC USD 0.000006</t>
  </si>
  <si>
    <t>PEPSICO INC USD 0.017</t>
  </si>
  <si>
    <t>PROCTER + GAMBLE CO NPV</t>
  </si>
  <si>
    <t>MODERNA INC USD 0.0001</t>
  </si>
  <si>
    <t>STATE STREET UTILITIES SELECT SECTO</t>
  </si>
  <si>
    <t>EXXON MOBIL CORP NPV</t>
  </si>
  <si>
    <t>PALANTIR TECHNOLOGIES INC USD 0.001</t>
  </si>
  <si>
    <t>KODIAK GAS SVCS INC USD 0.01</t>
  </si>
  <si>
    <t>STATE STREET TECHNOLOGY SELECT SECT</t>
  </si>
  <si>
    <t>STATE STREET CONSUMER STAPLES SELEC</t>
  </si>
  <si>
    <t>RUSH STR INTERACTIVE INC USD 0.0001</t>
  </si>
  <si>
    <t>STATE STREET MATERIALS SELECT SECTO</t>
  </si>
  <si>
    <t>APPLE INC USD 0.00001</t>
  </si>
  <si>
    <t>MISTER CAR WASH INC USD 0.01</t>
  </si>
  <si>
    <t>MICROSOFT CORP USD 0.0000125</t>
  </si>
  <si>
    <t>NIKE INC CLASS B COM NPV</t>
  </si>
  <si>
    <t>AST SPACEMOBILE INC USD 0.0001</t>
  </si>
  <si>
    <t>STATE STREET ENERGY SELECT SECTOR S</t>
  </si>
  <si>
    <t>STATE STREET INDUSTRIAL SELECT SECT</t>
  </si>
  <si>
    <t>WALMART INC</t>
  </si>
  <si>
    <t>ISHARES CORE S+P 500 ETF</t>
  </si>
  <si>
    <t>HONEYWELL INTL INC USD 1.0</t>
  </si>
  <si>
    <t>ALPHABET INC CLASS A</t>
  </si>
  <si>
    <t>GE AEROSPACE</t>
  </si>
  <si>
    <t>LILLY ELI + CO NPV</t>
  </si>
  <si>
    <t>BERKSHIRE HATHAWAY INC SH B 0.0033</t>
  </si>
  <si>
    <t>COMFORT SYS USA INC USD 0.01</t>
  </si>
  <si>
    <t>CHIPOTLE MEXICAN GRILL INC USD 0.01</t>
  </si>
  <si>
    <t>MASTERCARD INC</t>
  </si>
  <si>
    <t>SONOS INC USD 0.001</t>
  </si>
  <si>
    <t>VULCAN MATLS CO USD 1.0</t>
  </si>
  <si>
    <t>CATERPILLAR INC USD 1.0</t>
  </si>
  <si>
    <t>ASML HOLDING NV EUR 0.09 ADR</t>
  </si>
  <si>
    <t>NATIONAL FUEL GAS CO USD 1.0</t>
  </si>
  <si>
    <t>BROADCOM INC NPV</t>
  </si>
  <si>
    <t>LINDE PLC NPV</t>
  </si>
  <si>
    <t>STATE STREET HEALTH CARE SELECT SEC</t>
  </si>
  <si>
    <t>ALPHABET INC CLASS C</t>
  </si>
  <si>
    <t>SOFI TECHNOLOGIES INC USD 0.0001</t>
  </si>
  <si>
    <t>STATE STREET CONSUMER DISCRETIONARY</t>
  </si>
  <si>
    <t>STATE STREET REAL ESTATE SELECT SEC</t>
  </si>
  <si>
    <t>DRIVEN BRANDS HLDGS INC USD 0.01</t>
  </si>
  <si>
    <t>GE VERNOVA INC USD 0.01</t>
  </si>
  <si>
    <t>LULULEMON ATHLETICA INC USD 0.005</t>
  </si>
  <si>
    <t>GULFPORT ENERGY CORP USD 0.0001</t>
  </si>
  <si>
    <t>GPGI INC USD 0.0001</t>
  </si>
  <si>
    <t>ISHARES S+P 100 ETF</t>
  </si>
  <si>
    <t>HCA HEALTHCARE INC</t>
  </si>
  <si>
    <t>NEXTERA ENERGY INC USD 0.01</t>
  </si>
  <si>
    <t>AGNICO-EAGLE MINES LIMITED</t>
  </si>
  <si>
    <t>JPMORGAN CHASE + CO USD 1.0</t>
  </si>
  <si>
    <t>ENSIGN GROUP INC</t>
  </si>
  <si>
    <t>TESLA INC USD 0.001</t>
  </si>
  <si>
    <t>THE REALREAL INC USD 0.00001</t>
  </si>
  <si>
    <t>NVIDIA CORP USD 0.001</t>
  </si>
  <si>
    <t>PHILIP MORRIS INTL INC NPV</t>
  </si>
  <si>
    <t>ZILLOW GROUP INC USD 0.0001</t>
  </si>
  <si>
    <t>SOLSTICE ADVANCED MATLS IN USD 0.01</t>
  </si>
  <si>
    <t>STATE STREET FINANCIAL SELECT SECTO</t>
  </si>
  <si>
    <t>POST HLDGS INC USD 0.01</t>
  </si>
  <si>
    <t>VISTRA CORP USD 0.01</t>
  </si>
  <si>
    <t>VERTIV HLDGS CO USD 0.0001</t>
  </si>
  <si>
    <t>ARISTA NETWORKS INC USD 0.0001</t>
  </si>
  <si>
    <t>AMAZON COM INC USD 0.01</t>
  </si>
  <si>
    <t>CORNING IN COM</t>
  </si>
  <si>
    <t>VISA INC USD 0.0001</t>
  </si>
  <si>
    <t>STATE STREET COMMUNICATION SERVICES</t>
  </si>
  <si>
    <t>PATTERN GROUP INC USD 0.001</t>
  </si>
  <si>
    <t>ACCENTURE PLC USD 0.000023</t>
  </si>
  <si>
    <t>INVESCO EX S+P 500 TOP 50 ETF</t>
  </si>
  <si>
    <t>NETFLIX INC USD 0.001</t>
  </si>
  <si>
    <t>META</t>
  </si>
  <si>
    <t>PEP</t>
  </si>
  <si>
    <t>PG</t>
  </si>
  <si>
    <t>MRNA</t>
  </si>
  <si>
    <t>XLU</t>
  </si>
  <si>
    <t>XOM</t>
  </si>
  <si>
    <t>PLTR</t>
  </si>
  <si>
    <t>KGS</t>
  </si>
  <si>
    <t>XLK</t>
  </si>
  <si>
    <t>XLP</t>
  </si>
  <si>
    <t>RSI</t>
  </si>
  <si>
    <t>XLB</t>
  </si>
  <si>
    <t>AAPL</t>
  </si>
  <si>
    <t>MCW</t>
  </si>
  <si>
    <t>MSFT</t>
  </si>
  <si>
    <t>NKE</t>
  </si>
  <si>
    <t>ASTS</t>
  </si>
  <si>
    <t>XLE</t>
  </si>
  <si>
    <t>XLI</t>
  </si>
  <si>
    <t>WMT</t>
  </si>
  <si>
    <t>IVV</t>
  </si>
  <si>
    <t>HON</t>
  </si>
  <si>
    <t>GOOGL</t>
  </si>
  <si>
    <t>GE</t>
  </si>
  <si>
    <t>LLY</t>
  </si>
  <si>
    <t>BRK.B</t>
  </si>
  <si>
    <t>FIX</t>
  </si>
  <si>
    <t>CMG</t>
  </si>
  <si>
    <t>MA</t>
  </si>
  <si>
    <t>SONO</t>
  </si>
  <si>
    <t>VMC</t>
  </si>
  <si>
    <t>CAT</t>
  </si>
  <si>
    <t>ASML</t>
  </si>
  <si>
    <t>NFG</t>
  </si>
  <si>
    <t>AVGO</t>
  </si>
  <si>
    <t>LIN</t>
  </si>
  <si>
    <t>XLV</t>
  </si>
  <si>
    <t>GOOG</t>
  </si>
  <si>
    <t>SOFI</t>
  </si>
  <si>
    <t>XLY</t>
  </si>
  <si>
    <t>XLRE</t>
  </si>
  <si>
    <t>DRVN</t>
  </si>
  <si>
    <t>GEV</t>
  </si>
  <si>
    <t>LULU</t>
  </si>
  <si>
    <t>GPOR</t>
  </si>
  <si>
    <t>GPGI</t>
  </si>
  <si>
    <t>OEF</t>
  </si>
  <si>
    <t>HCA</t>
  </si>
  <si>
    <t>NEE</t>
  </si>
  <si>
    <t>AEM</t>
  </si>
  <si>
    <t>JPM</t>
  </si>
  <si>
    <t>ENSG</t>
  </si>
  <si>
    <t>TSLA</t>
  </si>
  <si>
    <t>REAL</t>
  </si>
  <si>
    <t>NVDA</t>
  </si>
  <si>
    <t>PM</t>
  </si>
  <si>
    <t>Z</t>
  </si>
  <si>
    <t>SOLS</t>
  </si>
  <si>
    <t>XLF</t>
  </si>
  <si>
    <t>POST</t>
  </si>
  <si>
    <t>VST</t>
  </si>
  <si>
    <t>VRT</t>
  </si>
  <si>
    <t>ANET</t>
  </si>
  <si>
    <t>AMZN</t>
  </si>
  <si>
    <t>GLW</t>
  </si>
  <si>
    <t>V</t>
  </si>
  <si>
    <t>XLC</t>
  </si>
  <si>
    <t>PTRN</t>
  </si>
  <si>
    <t>ACN</t>
  </si>
  <si>
    <t>XLG</t>
  </si>
  <si>
    <t>NFLX</t>
  </si>
  <si>
    <t>Account - GSP</t>
  </si>
  <si>
    <t>Price Date</t>
  </si>
  <si>
    <t>Report Run Date (CDT)</t>
  </si>
  <si>
    <t>ISIN</t>
  </si>
  <si>
    <t>Local Price</t>
  </si>
  <si>
    <t>Security Description 1</t>
  </si>
  <si>
    <t>TICKER</t>
  </si>
  <si>
    <t>As Of Date</t>
  </si>
  <si>
    <t>Market Value Local-Posted Basis</t>
  </si>
  <si>
    <t>Units - Posted Basis</t>
  </si>
  <si>
    <t>Units - Settled Basis</t>
  </si>
  <si>
    <t>Market Value Traded Base</t>
  </si>
  <si>
    <t>US30303M1027</t>
  </si>
  <si>
    <t>META US</t>
  </si>
  <si>
    <t>US</t>
  </si>
  <si>
    <t>US7134481081</t>
  </si>
  <si>
    <t>PEP US</t>
  </si>
  <si>
    <t>US7427181091</t>
  </si>
  <si>
    <t>PG US</t>
  </si>
  <si>
    <t>US60770K1079</t>
  </si>
  <si>
    <t>MRNA US</t>
  </si>
  <si>
    <t>US81369Y8865</t>
  </si>
  <si>
    <t>XLU US</t>
  </si>
  <si>
    <t>US30231G1022</t>
  </si>
  <si>
    <t>XOM US</t>
  </si>
  <si>
    <t>US69608A1088</t>
  </si>
  <si>
    <t>PLTR US</t>
  </si>
  <si>
    <t>US50012A1088</t>
  </si>
  <si>
    <t>KGS US</t>
  </si>
  <si>
    <t>US81369Y8030</t>
  </si>
  <si>
    <t>XLK US</t>
  </si>
  <si>
    <t>US81369Y3080</t>
  </si>
  <si>
    <t>XLP US</t>
  </si>
  <si>
    <t>US7820111000</t>
  </si>
  <si>
    <t>RSI US</t>
  </si>
  <si>
    <t>US81369Y1001</t>
  </si>
  <si>
    <t>XLB US</t>
  </si>
  <si>
    <t>US0378331005</t>
  </si>
  <si>
    <t>AAPL US</t>
  </si>
  <si>
    <t>US60646V1052</t>
  </si>
  <si>
    <t>MCW US</t>
  </si>
  <si>
    <t>US5949181045</t>
  </si>
  <si>
    <t>MSFT US</t>
  </si>
  <si>
    <t>US6541061031</t>
  </si>
  <si>
    <t>NKE US</t>
  </si>
  <si>
    <t>US00217D1000</t>
  </si>
  <si>
    <t>ASTS US</t>
  </si>
  <si>
    <t>US81369Y5069</t>
  </si>
  <si>
    <t>XLE US</t>
  </si>
  <si>
    <t>US81369Y7040</t>
  </si>
  <si>
    <t>XLI US</t>
  </si>
  <si>
    <t>US9311421039</t>
  </si>
  <si>
    <t>WMT US</t>
  </si>
  <si>
    <t>US4642872000</t>
  </si>
  <si>
    <t>IVV US</t>
  </si>
  <si>
    <t>US4385161066</t>
  </si>
  <si>
    <t>HON US</t>
  </si>
  <si>
    <t>US02079K3059</t>
  </si>
  <si>
    <t>GOOGL US</t>
  </si>
  <si>
    <t>US3696043013</t>
  </si>
  <si>
    <t>GE US</t>
  </si>
  <si>
    <t>US5324571083</t>
  </si>
  <si>
    <t>LLY US</t>
  </si>
  <si>
    <t>US0846707026</t>
  </si>
  <si>
    <t>BRK/B US</t>
  </si>
  <si>
    <t>US1999081045</t>
  </si>
  <si>
    <t>FIX US</t>
  </si>
  <si>
    <t>US1696561059</t>
  </si>
  <si>
    <t>CMG US</t>
  </si>
  <si>
    <t>US57636Q1040</t>
  </si>
  <si>
    <t>MA US</t>
  </si>
  <si>
    <t>US83570H1086</t>
  </si>
  <si>
    <t>SONO US</t>
  </si>
  <si>
    <t>US9291601097</t>
  </si>
  <si>
    <t>VMC US</t>
  </si>
  <si>
    <t>US1491231015</t>
  </si>
  <si>
    <t>CAT US</t>
  </si>
  <si>
    <t>USN070592100</t>
  </si>
  <si>
    <t>ASML US</t>
  </si>
  <si>
    <t>US6361801011</t>
  </si>
  <si>
    <t>NFG US</t>
  </si>
  <si>
    <t>US11135F1012</t>
  </si>
  <si>
    <t>AVGO US</t>
  </si>
  <si>
    <t>IE000S9YS762</t>
  </si>
  <si>
    <t>LIN US</t>
  </si>
  <si>
    <t>US81369Y2090</t>
  </si>
  <si>
    <t>XLV US</t>
  </si>
  <si>
    <t>US02079K1079</t>
  </si>
  <si>
    <t>GOOG US</t>
  </si>
  <si>
    <t>US83406F1021</t>
  </si>
  <si>
    <t>SOFI US</t>
  </si>
  <si>
    <t>US81369Y4070</t>
  </si>
  <si>
    <t>XLY US</t>
  </si>
  <si>
    <t>US81369Y8600</t>
  </si>
  <si>
    <t>XLRE US</t>
  </si>
  <si>
    <t>US26210V1026</t>
  </si>
  <si>
    <t>DRVN US</t>
  </si>
  <si>
    <t>US36828A1016</t>
  </si>
  <si>
    <t>GEV US</t>
  </si>
  <si>
    <t>US5500211090</t>
  </si>
  <si>
    <t>LULU US</t>
  </si>
  <si>
    <t>US4026355028</t>
  </si>
  <si>
    <t>GPOR US</t>
  </si>
  <si>
    <t>US20459V1052</t>
  </si>
  <si>
    <t>GPGI US</t>
  </si>
  <si>
    <t>US4642871010</t>
  </si>
  <si>
    <t>OEF US</t>
  </si>
  <si>
    <t>US40412C1018</t>
  </si>
  <si>
    <t>HCA US</t>
  </si>
  <si>
    <t>US65339F1012</t>
  </si>
  <si>
    <t>NEE US</t>
  </si>
  <si>
    <t>CA0084741085</t>
  </si>
  <si>
    <t>AEM CN</t>
  </si>
  <si>
    <t>CN</t>
  </si>
  <si>
    <t>US46625H1005</t>
  </si>
  <si>
    <t>JPM US</t>
  </si>
  <si>
    <t>US29358P1012</t>
  </si>
  <si>
    <t>ENSG US</t>
  </si>
  <si>
    <t>US88160R1014</t>
  </si>
  <si>
    <t>TSLA US</t>
  </si>
  <si>
    <t>US88339P1012</t>
  </si>
  <si>
    <t>REAL US</t>
  </si>
  <si>
    <t>US67066G1040</t>
  </si>
  <si>
    <t>NVDA US</t>
  </si>
  <si>
    <t>US7181721090</t>
  </si>
  <si>
    <t>PM US</t>
  </si>
  <si>
    <t>US98954M2008</t>
  </si>
  <si>
    <t>Z US</t>
  </si>
  <si>
    <t>US83443Q1031</t>
  </si>
  <si>
    <t>SOLS US</t>
  </si>
  <si>
    <t>US81369Y6059</t>
  </si>
  <si>
    <t>XLF US</t>
  </si>
  <si>
    <t>US7374461041</t>
  </si>
  <si>
    <t>POST US</t>
  </si>
  <si>
    <t>US92840M1027</t>
  </si>
  <si>
    <t>VST US</t>
  </si>
  <si>
    <t>US92537N1081</t>
  </si>
  <si>
    <t>VRT US</t>
  </si>
  <si>
    <t>US0404132054</t>
  </si>
  <si>
    <t>ANET US</t>
  </si>
  <si>
    <t>US0231351067</t>
  </si>
  <si>
    <t>AMZN US</t>
  </si>
  <si>
    <t>US2193501051</t>
  </si>
  <si>
    <t>GLW US</t>
  </si>
  <si>
    <t>US92826C8394</t>
  </si>
  <si>
    <t>V US</t>
  </si>
  <si>
    <t>US81369Y8527</t>
  </si>
  <si>
    <t>XLC US</t>
  </si>
  <si>
    <t>US70339W1045</t>
  </si>
  <si>
    <t>PTRN US</t>
  </si>
  <si>
    <t>IE00B4BNMY34</t>
  </si>
  <si>
    <t>ACN US</t>
  </si>
  <si>
    <t>US46137V2337</t>
  </si>
  <si>
    <t>XLG US</t>
  </si>
  <si>
    <t>US64110L1061</t>
  </si>
  <si>
    <t>NFLX US</t>
  </si>
  <si>
    <t>X9X9USDUTMP2</t>
  </si>
  <si>
    <t>UTM MCC POOL ACTIVE RESERVE</t>
  </si>
  <si>
    <t xml:space="preserve"> Equity</t>
  </si>
  <si>
    <t>Custodian Ticker</t>
  </si>
  <si>
    <t>Enriched</t>
  </si>
  <si>
    <t>Google</t>
  </si>
  <si>
    <t>Type</t>
  </si>
  <si>
    <t>Manual</t>
  </si>
  <si>
    <t>Alpha</t>
  </si>
  <si>
    <t>symbol</t>
  </si>
  <si>
    <t>Close</t>
  </si>
  <si>
    <t>Daily Change</t>
  </si>
  <si>
    <t>52W High</t>
  </si>
  <si>
    <t>52W Low</t>
  </si>
  <si>
    <t>attribute</t>
  </si>
  <si>
    <t>close</t>
  </si>
  <si>
    <t>Apple Inc</t>
  </si>
  <si>
    <t>start_date</t>
  </si>
  <si>
    <t>num_days or end_date</t>
  </si>
  <si>
    <t>Accenture Plc</t>
  </si>
  <si>
    <t>interval</t>
  </si>
  <si>
    <t>start_date less 1</t>
  </si>
  <si>
    <t>Agnico Eagle Mines Ltd</t>
  </si>
  <si>
    <t>Amazon.com Inc</t>
  </si>
  <si>
    <t>S&amp;P 500</t>
  </si>
  <si>
    <t>INDEXSP:.INX</t>
  </si>
  <si>
    <t>Dow Jones</t>
  </si>
  <si>
    <t>.DJI</t>
  </si>
  <si>
    <t>Arista Networks Inc</t>
  </si>
  <si>
    <t>NASDAQ</t>
  </si>
  <si>
    <t>INDEXNASDAQ:.IXIC</t>
  </si>
  <si>
    <t>Russell 3000</t>
  </si>
  <si>
    <t>RUA</t>
  </si>
  <si>
    <t>ASML Holding NV</t>
  </si>
  <si>
    <t>S&amp;P Total return</t>
  </si>
  <si>
    <t>INDEXSP:SP500TR</t>
  </si>
  <si>
    <t>AST SpaceMobile Inc</t>
  </si>
  <si>
    <t>Broadcom Inc</t>
  </si>
  <si>
    <t>Berkshire Hathaway Inc Class B</t>
  </si>
  <si>
    <t>Caterpillar Inc</t>
  </si>
  <si>
    <t>Driven Brands Holdings Inc</t>
  </si>
  <si>
    <t>Ensign Group Inc</t>
  </si>
  <si>
    <t>Comfort Systems USA Inc</t>
  </si>
  <si>
    <t>General Electric Co</t>
  </si>
  <si>
    <t>GE Vernova Inc</t>
  </si>
  <si>
    <t>Corning Inc</t>
  </si>
  <si>
    <t>Alphabet Inc Class C</t>
  </si>
  <si>
    <t>Alphabet Inc Class A</t>
  </si>
  <si>
    <t>GPGI Inc</t>
  </si>
  <si>
    <t>Gulfport Energy Corp</t>
  </si>
  <si>
    <t>HCA Healthcare Inc</t>
  </si>
  <si>
    <t>Honeywell International Inc</t>
  </si>
  <si>
    <t>iShares Core S&amp;P 500 ETF</t>
  </si>
  <si>
    <t>JPMorgan Chase &amp; Co</t>
  </si>
  <si>
    <t>Kodiak Gas Services Inc</t>
  </si>
  <si>
    <t>Linde PLC</t>
  </si>
  <si>
    <t>Eli Lilly And Co</t>
  </si>
  <si>
    <t>Lululemon Athletica Inc</t>
  </si>
  <si>
    <t>Mastercard Inc</t>
  </si>
  <si>
    <t>Mister Car Wash Inc</t>
  </si>
  <si>
    <t>Meta Platforms Inc</t>
  </si>
  <si>
    <t>Microsoft Corp</t>
  </si>
  <si>
    <t>NextEra Energy Inc</t>
  </si>
  <si>
    <t>National Fuel Gas Co</t>
  </si>
  <si>
    <t>Netflix Inc</t>
  </si>
  <si>
    <t>NVIDIA Corp</t>
  </si>
  <si>
    <t>iShares S&amp;P 100 ETF</t>
  </si>
  <si>
    <t>PepsiCo Inc</t>
  </si>
  <si>
    <t>Procter &amp; Gamble Co</t>
  </si>
  <si>
    <t>Palantir Technologies Inc</t>
  </si>
  <si>
    <t>Philip Morris International Inc.</t>
  </si>
  <si>
    <t>Solstice Advanced Materials Inc</t>
  </si>
  <si>
    <t>Tesla Inc</t>
  </si>
  <si>
    <t>Visa Inc</t>
  </si>
  <si>
    <t>Vulcan Materials Co</t>
  </si>
  <si>
    <t>Vertiv Holdings Co</t>
  </si>
  <si>
    <t>Walmart Inc</t>
  </si>
  <si>
    <t>State Street Materials Select Sector SPDR ETF</t>
  </si>
  <si>
    <t>State Street Com Svc Sel Sec SPDR ETF</t>
  </si>
  <si>
    <t>State Street Energy Select Sector SPDR ETF</t>
  </si>
  <si>
    <t>State Street Financial Sel Sec SPDR ETF</t>
  </si>
  <si>
    <t>Invesco S&amp;P 500 Top 50 ETF</t>
  </si>
  <si>
    <t>State Street Industrial Select Sector SPDR ETF</t>
  </si>
  <si>
    <t>State Street Technology Select Sector SPDR ETF</t>
  </si>
  <si>
    <t>State Street Cons Staples Sel Sec SPDR Inc ETF</t>
  </si>
  <si>
    <t>State Street Real Estate Select Sector SPDR ETF</t>
  </si>
  <si>
    <t>State Street Utilities Select Sector SPDR ETF</t>
  </si>
  <si>
    <t>State Street Health Care Select Sector SPDR ETF</t>
  </si>
  <si>
    <t>State Street Cons Disc Sel Sect SPDR Income ETF</t>
  </si>
  <si>
    <t>Exxon Mobil Corp</t>
  </si>
  <si>
    <t>AGG</t>
  </si>
  <si>
    <t>iShares Core US Aggregate Bond ETF</t>
  </si>
  <si>
    <t>GLD</t>
  </si>
  <si>
    <t>SPDR Gold Trust</t>
  </si>
  <si>
    <t>IJH</t>
  </si>
  <si>
    <t>iShares Core S&amp;P Mid-Cap ETF</t>
  </si>
  <si>
    <t>IJR</t>
  </si>
  <si>
    <t>iShares Core S&amp;P Small-Cap ETF</t>
  </si>
  <si>
    <t>SGOV</t>
  </si>
  <si>
    <t>iShares 0-3 Month Treasury Bond ETF</t>
  </si>
  <si>
    <t>TLT</t>
  </si>
  <si>
    <t>iShares 20+ Year Treasury Bond ETF</t>
  </si>
  <si>
    <t>USIG</t>
  </si>
  <si>
    <t>iShares Broad USD Investment Grade Corporate Bond</t>
  </si>
  <si>
    <t>VEU</t>
  </si>
  <si>
    <t>Vanguard FTSE All World ex US ETF</t>
  </si>
  <si>
    <t>VGIT</t>
  </si>
  <si>
    <t>Vanguard Intermediate-Term Treasury Index Fd ETF</t>
  </si>
  <si>
    <t>VGSH</t>
  </si>
  <si>
    <t>Vanguard Short-Term Treasury Index Fund ETF</t>
  </si>
  <si>
    <t>VNQ</t>
  </si>
  <si>
    <t>Vanguard Real Estate Index Fund ETF</t>
  </si>
  <si>
    <t>Moderna Inc</t>
  </si>
  <si>
    <t>Rush Street Interactive Inc</t>
  </si>
  <si>
    <t>Nike Inc</t>
  </si>
  <si>
    <t>Chipotle Mexican Grill Inc</t>
  </si>
  <si>
    <t>Sonos Inc</t>
  </si>
  <si>
    <t>SoFi Technologies Inc</t>
  </si>
  <si>
    <t>RealReal Inc</t>
  </si>
  <si>
    <t>Zillow Group Inc Class C</t>
  </si>
  <si>
    <t>Post Holdings Inc</t>
  </si>
  <si>
    <t>Vistra Corp</t>
  </si>
  <si>
    <t>Pattern Group Inc</t>
  </si>
  <si>
    <t>Cash</t>
  </si>
  <si>
    <t>Total</t>
  </si>
  <si>
    <t>Beta</t>
  </si>
  <si>
    <t>ETF</t>
  </si>
  <si>
    <t>Closing</t>
  </si>
  <si>
    <t>Change</t>
  </si>
  <si>
    <t>Index</t>
  </si>
  <si>
    <t>Change since takeover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</si>
</sst>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[$-409]d/mmm/yy;@"/>
    <numFmt numFmtId="171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left"/>
    </xf>
    <xf numFmtId="14" fontId="5" fillId="0" borderId="0" xfId="0" applyNumberFormat="1" applyFont="1"/>
    <xf numFmtId="22" fontId="5" fillId="0" borderId="0" xfId="0" applyNumberFormat="1" applyFont="1"/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165" fontId="0" fillId="0" borderId="0" xfId="0" applyNumberFormat="1"/>
    <xf numFmtId="0" fontId="3" fillId="6" borderId="1" xfId="0" applyFont="1" applyFill="1" applyBorder="1"/>
    <xf numFmtId="0" fontId="3" fillId="0" borderId="0" xfId="0" applyFont="1"/>
    <xf numFmtId="14" fontId="0" fillId="0" borderId="0" xfId="0" applyNumberFormat="1"/>
    <xf numFmtId="10" fontId="0" fillId="0" borderId="0" xfId="0" applyNumberFormat="1"/>
    <xf numFmtId="14" fontId="3" fillId="0" borderId="0" xfId="0" applyNumberFormat="1" applyFont="1"/>
    <xf numFmtId="44" fontId="0" fillId="0" borderId="0" xfId="2" applyFont="1"/>
    <xf numFmtId="44" fontId="0" fillId="0" borderId="0" xfId="0" applyNumberFormat="1"/>
    <xf numFmtId="171" fontId="0" fillId="0" borderId="0" xfId="3" applyNumberFormat="1" applyFont="1"/>
    <xf numFmtId="10" fontId="0" fillId="0" borderId="0" xfId="3" applyNumberFormat="1" applyFont="1"/>
    <xf numFmtId="0" fontId="3" fillId="0" borderId="1" xfId="0" applyFont="1" applyBorder="1"/>
    <xf numFmtId="10" fontId="0" fillId="0" borderId="1" xfId="3" applyNumberFormat="1" applyFont="1" applyBorder="1"/>
    <xf numFmtId="43" fontId="0" fillId="0" borderId="0" xfId="1" applyFont="1"/>
    <xf numFmtId="15" fontId="3" fillId="0" borderId="2" xfId="0" applyNumberFormat="1" applyFont="1" applyFill="1" applyBorder="1"/>
    <xf numFmtId="0" fontId="3" fillId="0" borderId="0" xfId="0" applyFont="1" applyFill="1" applyBorder="1"/>
    <xf numFmtId="0" fontId="0" fillId="0" borderId="0" xfId="0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3C18-1D60-4795-8DF1-5C7DB08D395E}">
  <dimension ref="A1:F8"/>
  <sheetViews>
    <sheetView showGridLines="0" workbookViewId="0">
      <selection activeCell="D8" sqref="D8"/>
    </sheetView>
  </sheetViews>
  <sheetFormatPr defaultRowHeight="14.4" x14ac:dyDescent="0.3"/>
  <cols>
    <col min="1" max="1" width="13.88671875" bestFit="1" customWidth="1"/>
    <col min="2" max="2" width="10.33203125" bestFit="1" customWidth="1"/>
    <col min="3" max="3" width="7.109375" bestFit="1" customWidth="1"/>
    <col min="4" max="4" width="10.21875" bestFit="1" customWidth="1"/>
    <col min="5" max="5" width="19.6640625" bestFit="1" customWidth="1"/>
  </cols>
  <sheetData>
    <row r="1" spans="1:6" x14ac:dyDescent="0.3">
      <c r="A1" s="15" t="s">
        <v>8</v>
      </c>
      <c r="B1" s="18">
        <f>+'Price &amp; Other Market Data'!B3</f>
        <v>46120</v>
      </c>
    </row>
    <row r="2" spans="1:6" x14ac:dyDescent="0.3">
      <c r="A2" s="15"/>
      <c r="B2" s="18"/>
    </row>
    <row r="3" spans="1:6" x14ac:dyDescent="0.3">
      <c r="A3" s="23" t="s">
        <v>436</v>
      </c>
      <c r="B3" s="23" t="s">
        <v>434</v>
      </c>
      <c r="C3" s="23" t="s">
        <v>435</v>
      </c>
      <c r="D3" s="26">
        <v>46081</v>
      </c>
      <c r="E3" s="27" t="s">
        <v>437</v>
      </c>
      <c r="F3" s="28"/>
    </row>
    <row r="4" spans="1:6" x14ac:dyDescent="0.3">
      <c r="A4" s="2" t="s">
        <v>331</v>
      </c>
      <c r="B4" s="2">
        <f>_xlfn.XLOOKUP(A4,'Price &amp; Other Market Data'!$A$9:$A$13,'Price &amp; Other Market Data'!$C$9:$C$13)</f>
        <v>6824.66</v>
      </c>
      <c r="C4" s="24">
        <f>_xlfn.XLOOKUP(A4,'Price &amp; Other Market Data'!$A$9:$A$13,'Price &amp; Other Market Data'!$D$9:$D$13)/100</f>
        <v>6.1999999999999998E-3</v>
      </c>
    </row>
    <row r="5" spans="1:6" x14ac:dyDescent="0.3">
      <c r="A5" s="2" t="s">
        <v>333</v>
      </c>
      <c r="B5" s="2">
        <f>_xlfn.XLOOKUP(A5,'Price &amp; Other Market Data'!$A$9:$A$13,'Price &amp; Other Market Data'!$C$9:$C$13)</f>
        <v>48185.8</v>
      </c>
      <c r="C5" s="24">
        <f>_xlfn.XLOOKUP(A5,'Price &amp; Other Market Data'!$A$9:$A$13,'Price &amp; Other Market Data'!$D$9:$D$13)/100</f>
        <v>5.7999999999999996E-3</v>
      </c>
    </row>
    <row r="6" spans="1:6" x14ac:dyDescent="0.3">
      <c r="A6" s="2" t="s">
        <v>336</v>
      </c>
      <c r="B6" s="2">
        <f>_xlfn.XLOOKUP(A6,'Price &amp; Other Market Data'!$A$9:$A$13,'Price &amp; Other Market Data'!$C$9:$C$13)</f>
        <v>22822.42</v>
      </c>
      <c r="C6" s="24">
        <f>_xlfn.XLOOKUP(A6,'Price &amp; Other Market Data'!$A$9:$A$13,'Price &amp; Other Market Data'!$D$9:$D$13)/100</f>
        <v>8.3000000000000001E-3</v>
      </c>
    </row>
    <row r="7" spans="1:6" x14ac:dyDescent="0.3">
      <c r="A7" s="2" t="s">
        <v>338</v>
      </c>
      <c r="B7" s="2">
        <f>_xlfn.XLOOKUP(A7,'Price &amp; Other Market Data'!$A$9:$A$13,'Price &amp; Other Market Data'!$C$9:$C$13)</f>
        <v>3883.54</v>
      </c>
      <c r="C7" s="24">
        <f>_xlfn.XLOOKUP(A7,'Price &amp; Other Market Data'!$A$9:$A$13,'Price &amp; Other Market Data'!$D$9:$D$13)/100</f>
        <v>5.5000000000000005E-3</v>
      </c>
    </row>
    <row r="8" spans="1:6" x14ac:dyDescent="0.3">
      <c r="A8" s="2" t="s">
        <v>341</v>
      </c>
      <c r="B8" s="2">
        <f>_xlfn.XLOOKUP(A8,'Price &amp; Other Market Data'!$A$9:$A$13,'Price &amp; Other Market Data'!$C$9:$C$13)</f>
        <v>15225.18</v>
      </c>
      <c r="C8" s="24">
        <f>_xlfn.XLOOKUP(A8,'Price &amp; Other Market Data'!$A$9:$A$13,'Price &amp; Other Market Data'!$D$9:$D$13)/100</f>
        <v>6.1999999999999998E-3</v>
      </c>
      <c r="D8" s="25">
        <v>15323.8</v>
      </c>
      <c r="E8" s="22">
        <f>B8/D8-1</f>
        <v>-6.4357404821258068E-3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32B9-7F9B-4D92-89CD-D0E86E38B6AC}">
  <dimension ref="A1:M76"/>
  <sheetViews>
    <sheetView showGridLines="0" tabSelected="1" workbookViewId="0">
      <selection activeCell="E1" sqref="E1"/>
    </sheetView>
  </sheetViews>
  <sheetFormatPr defaultRowHeight="14.4" x14ac:dyDescent="0.3"/>
  <cols>
    <col min="1" max="2" width="15" bestFit="1" customWidth="1"/>
    <col min="3" max="3" width="12.21875" customWidth="1"/>
    <col min="4" max="4" width="40.33203125" bestFit="1" customWidth="1"/>
    <col min="5" max="5" width="8.109375" bestFit="1" customWidth="1"/>
    <col min="6" max="6" width="8.33203125" bestFit="1" customWidth="1"/>
    <col min="7" max="7" width="10.21875" bestFit="1" customWidth="1"/>
    <col min="8" max="8" width="14.88671875" bestFit="1" customWidth="1"/>
    <col min="9" max="9" width="8.109375" bestFit="1" customWidth="1"/>
    <col min="10" max="10" width="6.88671875" bestFit="1" customWidth="1"/>
    <col min="11" max="11" width="11.6640625" bestFit="1" customWidth="1"/>
    <col min="12" max="13" width="10.109375" bestFit="1" customWidth="1"/>
  </cols>
  <sheetData>
    <row r="1" spans="1:13" x14ac:dyDescent="0.3">
      <c r="D1" s="15" t="s">
        <v>431</v>
      </c>
      <c r="H1" s="20">
        <f>SUM(H3:H76)</f>
        <v>10973622.429999996</v>
      </c>
    </row>
    <row r="2" spans="1:13" x14ac:dyDescent="0.3">
      <c r="D2" s="15"/>
    </row>
    <row r="3" spans="1:13" x14ac:dyDescent="0.3">
      <c r="C3" s="15" t="s">
        <v>430</v>
      </c>
      <c r="D3" s="15" t="s">
        <v>308</v>
      </c>
      <c r="H3" s="19">
        <f>_xlfn.XLOOKUP(D3,'LH_Holding_Custody T'!F:F,'LH_Holding_Custody T'!J:J)</f>
        <v>127655.16</v>
      </c>
      <c r="I3" s="21">
        <f>H3/$H$1</f>
        <v>1.1632909808434155E-2</v>
      </c>
    </row>
    <row r="4" spans="1:13" x14ac:dyDescent="0.3">
      <c r="A4" t="s">
        <v>309</v>
      </c>
      <c r="B4" t="s">
        <v>314</v>
      </c>
      <c r="C4" t="s">
        <v>311</v>
      </c>
      <c r="D4" t="s">
        <v>312</v>
      </c>
      <c r="E4" t="s">
        <v>7</v>
      </c>
      <c r="F4" t="s">
        <v>7</v>
      </c>
      <c r="G4" t="s">
        <v>312</v>
      </c>
      <c r="H4" t="s">
        <v>311</v>
      </c>
      <c r="I4" t="s">
        <v>311</v>
      </c>
      <c r="J4" t="s">
        <v>314</v>
      </c>
      <c r="K4" t="s">
        <v>312</v>
      </c>
      <c r="L4" t="s">
        <v>312</v>
      </c>
      <c r="M4" t="s">
        <v>312</v>
      </c>
    </row>
    <row r="5" spans="1:13" x14ac:dyDescent="0.3">
      <c r="A5" s="11" t="s">
        <v>5</v>
      </c>
      <c r="B5" s="10" t="s">
        <v>310</v>
      </c>
      <c r="C5" s="11" t="s">
        <v>6</v>
      </c>
      <c r="D5" s="12" t="s">
        <v>0</v>
      </c>
      <c r="E5" s="14" t="s">
        <v>8</v>
      </c>
      <c r="F5" s="14" t="s">
        <v>7</v>
      </c>
      <c r="G5" s="12" t="s">
        <v>1</v>
      </c>
      <c r="H5" s="1" t="s">
        <v>2</v>
      </c>
      <c r="I5" s="1" t="s">
        <v>3</v>
      </c>
      <c r="J5" s="10" t="s">
        <v>313</v>
      </c>
      <c r="K5" s="12" t="s">
        <v>318</v>
      </c>
      <c r="L5" s="12" t="s">
        <v>319</v>
      </c>
      <c r="M5" s="12" t="s">
        <v>320</v>
      </c>
    </row>
    <row r="6" spans="1:13" x14ac:dyDescent="0.3">
      <c r="A6" t="str">
        <f>B6&amp;$A$4</f>
        <v>META US Equity</v>
      </c>
      <c r="B6" t="s">
        <v>164</v>
      </c>
      <c r="C6" t="str">
        <f>SUBSTITUTE(REPLACE(B6,LEN(B6)-2,3,""),"/",".")</f>
        <v>META</v>
      </c>
      <c r="D6" t="str">
        <f>_xlfn.XLOOKUP(C6,'Price &amp; Other Market Data'!F:F,'Price &amp; Other Market Data'!I:I)</f>
        <v>Meta Platforms Inc</v>
      </c>
      <c r="E6" s="13">
        <f>+'Price &amp; Other Market Data'!$B$3</f>
        <v>46120</v>
      </c>
      <c r="F6">
        <f>_xlfn.XLOOKUP(B6,'LH_Holding_Custody T'!G:G,'LH_Holding_Custody T'!J:J)</f>
        <v>229</v>
      </c>
      <c r="G6" s="19">
        <f>_xlfn.XLOOKUP(C6,'Price &amp; Other Market Data'!F:F,'Price &amp; Other Market Data'!H:H)</f>
        <v>612.41999999999996</v>
      </c>
      <c r="H6" s="19">
        <f>F6*G6</f>
        <v>140244.18</v>
      </c>
      <c r="I6" s="21">
        <f>H6/$H$1</f>
        <v>1.2780117130383175E-2</v>
      </c>
      <c r="J6" t="s">
        <v>315</v>
      </c>
      <c r="K6" s="22">
        <f>_xlfn.XLOOKUP(C6,'Price &amp; Other Market Data'!$F:$F,'Price &amp; Other Market Data'!J:J)</f>
        <v>2.6100000000000002E-2</v>
      </c>
      <c r="L6" s="19">
        <f>_xlfn.XLOOKUP(C6,'Price &amp; Other Market Data'!$F:$F,'Price &amp; Other Market Data'!K:K)</f>
        <v>796.25</v>
      </c>
      <c r="M6" s="19">
        <f>_xlfn.XLOOKUP(C6,'Price &amp; Other Market Data'!$F:$F,'Price &amp; Other Market Data'!L:L)</f>
        <v>479.8</v>
      </c>
    </row>
    <row r="7" spans="1:13" x14ac:dyDescent="0.3">
      <c r="A7" t="str">
        <f t="shared" ref="A7:A70" si="0">B7&amp;$A$4</f>
        <v>PEP US Equity</v>
      </c>
      <c r="B7" t="s">
        <v>167</v>
      </c>
      <c r="C7" t="str">
        <f t="shared" ref="C7:C70" si="1">SUBSTITUTE(REPLACE(B7,LEN(B7)-2,3,""),"/",".")</f>
        <v>PEP</v>
      </c>
      <c r="D7" t="str">
        <f>_xlfn.XLOOKUP(C7,'Price &amp; Other Market Data'!F:F,'Price &amp; Other Market Data'!I:I)</f>
        <v>PepsiCo Inc</v>
      </c>
      <c r="E7" s="13">
        <f>+'Price &amp; Other Market Data'!$B$3</f>
        <v>46120</v>
      </c>
      <c r="F7">
        <f>_xlfn.XLOOKUP(B7,'LH_Holding_Custody T'!G:G,'LH_Holding_Custody T'!J:J)</f>
        <v>442</v>
      </c>
      <c r="G7" s="19">
        <f>_xlfn.XLOOKUP(C7,'Price &amp; Other Market Data'!F:F,'Price &amp; Other Market Data'!H:H)</f>
        <v>154.80000000000001</v>
      </c>
      <c r="H7" s="19">
        <f t="shared" ref="H7:H70" si="2">F7*G7</f>
        <v>68421.600000000006</v>
      </c>
      <c r="I7" s="21">
        <f t="shared" ref="I7:I70" si="3">H7/$H$1</f>
        <v>6.2350969733519467E-3</v>
      </c>
      <c r="J7" t="s">
        <v>432</v>
      </c>
      <c r="K7" s="22">
        <f>_xlfn.XLOOKUP(C7,'Price &amp; Other Market Data'!$F:$F,'Price &amp; Other Market Data'!J:J)</f>
        <v>1.7399999999999999E-2</v>
      </c>
      <c r="L7" s="19">
        <f>_xlfn.XLOOKUP(C7,'Price &amp; Other Market Data'!$F:$F,'Price &amp; Other Market Data'!K:K)</f>
        <v>171.48</v>
      </c>
      <c r="M7" s="19">
        <f>_xlfn.XLOOKUP(C7,'Price &amp; Other Market Data'!$F:$F,'Price &amp; Other Market Data'!L:L)</f>
        <v>127.6</v>
      </c>
    </row>
    <row r="8" spans="1:13" x14ac:dyDescent="0.3">
      <c r="A8" t="str">
        <f t="shared" si="0"/>
        <v>PG US Equity</v>
      </c>
      <c r="B8" t="s">
        <v>169</v>
      </c>
      <c r="C8" t="str">
        <f t="shared" si="1"/>
        <v>PG</v>
      </c>
      <c r="D8" t="str">
        <f>_xlfn.XLOOKUP(C8,'Price &amp; Other Market Data'!F:F,'Price &amp; Other Market Data'!I:I)</f>
        <v>Procter &amp; Gamble Co</v>
      </c>
      <c r="E8" s="13">
        <f>+'Price &amp; Other Market Data'!$B$3</f>
        <v>46120</v>
      </c>
      <c r="F8">
        <f>_xlfn.XLOOKUP(B8,'LH_Holding_Custody T'!G:G,'LH_Holding_Custody T'!J:J)</f>
        <v>372</v>
      </c>
      <c r="G8" s="19">
        <f>_xlfn.XLOOKUP(C8,'Price &amp; Other Market Data'!F:F,'Price &amp; Other Market Data'!H:H)</f>
        <v>144.9</v>
      </c>
      <c r="H8" s="19">
        <f t="shared" si="2"/>
        <v>53902.8</v>
      </c>
      <c r="I8" s="21">
        <f t="shared" si="3"/>
        <v>4.9120334095548081E-3</v>
      </c>
      <c r="J8" t="s">
        <v>433</v>
      </c>
      <c r="K8" s="22">
        <f>_xlfn.XLOOKUP(C8,'Price &amp; Other Market Data'!$F:$F,'Price &amp; Other Market Data'!J:J)</f>
        <v>1.21E-2</v>
      </c>
      <c r="L8" s="19">
        <f>_xlfn.XLOOKUP(C8,'Price &amp; Other Market Data'!$F:$F,'Price &amp; Other Market Data'!K:K)</f>
        <v>171.65</v>
      </c>
      <c r="M8" s="19">
        <f>_xlfn.XLOOKUP(C8,'Price &amp; Other Market Data'!$F:$F,'Price &amp; Other Market Data'!L:L)</f>
        <v>137.62</v>
      </c>
    </row>
    <row r="9" spans="1:13" x14ac:dyDescent="0.3">
      <c r="A9" t="str">
        <f t="shared" si="0"/>
        <v>MRNA US Equity</v>
      </c>
      <c r="B9" t="s">
        <v>171</v>
      </c>
      <c r="C9" t="str">
        <f t="shared" si="1"/>
        <v>MRNA</v>
      </c>
      <c r="D9" t="str">
        <f>_xlfn.XLOOKUP(C9,'Price &amp; Other Market Data'!F:F,'Price &amp; Other Market Data'!I:I)</f>
        <v>Moderna Inc</v>
      </c>
      <c r="E9" s="13">
        <f>+'Price &amp; Other Market Data'!$B$3</f>
        <v>46120</v>
      </c>
      <c r="F9">
        <f>_xlfn.XLOOKUP(B9,'LH_Holding_Custody T'!G:G,'LH_Holding_Custody T'!J:J)</f>
        <v>790</v>
      </c>
      <c r="G9" s="19">
        <f>_xlfn.XLOOKUP(C9,'Price &amp; Other Market Data'!F:F,'Price &amp; Other Market Data'!H:H)</f>
        <v>52.1</v>
      </c>
      <c r="H9" s="19">
        <f t="shared" si="2"/>
        <v>41159</v>
      </c>
      <c r="I9" s="21">
        <f t="shared" si="3"/>
        <v>3.7507213559196621E-3</v>
      </c>
      <c r="J9" t="s">
        <v>315</v>
      </c>
      <c r="K9" s="22">
        <f>_xlfn.XLOOKUP(C9,'Price &amp; Other Market Data'!$F:$F,'Price &amp; Other Market Data'!J:J)</f>
        <v>-1.5699999999999999E-2</v>
      </c>
      <c r="L9" s="19">
        <f>_xlfn.XLOOKUP(C9,'Price &amp; Other Market Data'!$F:$F,'Price &amp; Other Market Data'!K:K)</f>
        <v>59.55</v>
      </c>
      <c r="M9" s="19">
        <f>_xlfn.XLOOKUP(C9,'Price &amp; Other Market Data'!$F:$F,'Price &amp; Other Market Data'!L:L)</f>
        <v>22.28</v>
      </c>
    </row>
    <row r="10" spans="1:13" x14ac:dyDescent="0.3">
      <c r="A10" t="str">
        <f t="shared" si="0"/>
        <v>XLU US Equity</v>
      </c>
      <c r="B10" t="s">
        <v>173</v>
      </c>
      <c r="C10" t="str">
        <f t="shared" si="1"/>
        <v>XLU</v>
      </c>
      <c r="D10" t="str">
        <f>_xlfn.XLOOKUP(C10,'Price &amp; Other Market Data'!F:F,'Price &amp; Other Market Data'!I:I)</f>
        <v>State Street Utilities Select Sector SPDR ETF</v>
      </c>
      <c r="E10" s="13">
        <f>+'Price &amp; Other Market Data'!$B$3</f>
        <v>46120</v>
      </c>
      <c r="F10">
        <f>_xlfn.XLOOKUP(B10,'LH_Holding_Custody T'!G:G,'LH_Holding_Custody T'!J:J)</f>
        <v>2394</v>
      </c>
      <c r="G10" s="19">
        <f>_xlfn.XLOOKUP(C10,'Price &amp; Other Market Data'!F:F,'Price &amp; Other Market Data'!H:H)</f>
        <v>46.78</v>
      </c>
      <c r="H10" s="19">
        <f t="shared" si="2"/>
        <v>111991.32</v>
      </c>
      <c r="I10" s="21">
        <f t="shared" si="3"/>
        <v>1.0205501484526659E-2</v>
      </c>
      <c r="J10" t="s">
        <v>432</v>
      </c>
      <c r="K10" s="22">
        <f>_xlfn.XLOOKUP(C10,'Price &amp; Other Market Data'!$F:$F,'Price &amp; Other Market Data'!J:J)</f>
        <v>7.9000000000000008E-3</v>
      </c>
      <c r="L10" s="19">
        <f>_xlfn.XLOOKUP(C10,'Price &amp; Other Market Data'!$F:$F,'Price &amp; Other Market Data'!K:K)</f>
        <v>47.8</v>
      </c>
      <c r="M10" s="19">
        <f>_xlfn.XLOOKUP(C10,'Price &amp; Other Market Data'!$F:$F,'Price &amp; Other Market Data'!L:L)</f>
        <v>35.51</v>
      </c>
    </row>
    <row r="11" spans="1:13" x14ac:dyDescent="0.3">
      <c r="A11" t="str">
        <f t="shared" si="0"/>
        <v>XOM US Equity</v>
      </c>
      <c r="B11" t="s">
        <v>175</v>
      </c>
      <c r="C11" t="str">
        <f t="shared" si="1"/>
        <v>XOM</v>
      </c>
      <c r="D11" t="str">
        <f>_xlfn.XLOOKUP(C11,'Price &amp; Other Market Data'!F:F,'Price &amp; Other Market Data'!I:I)</f>
        <v>Exxon Mobil Corp</v>
      </c>
      <c r="E11" s="13">
        <f>+'Price &amp; Other Market Data'!$B$3</f>
        <v>46120</v>
      </c>
      <c r="F11">
        <f>_xlfn.XLOOKUP(B11,'LH_Holding_Custody T'!G:G,'LH_Holding_Custody T'!J:J)</f>
        <v>823</v>
      </c>
      <c r="G11" s="19">
        <f>_xlfn.XLOOKUP(C11,'Price &amp; Other Market Data'!F:F,'Price &amp; Other Market Data'!H:H)</f>
        <v>156.22</v>
      </c>
      <c r="H11" s="19">
        <f t="shared" si="2"/>
        <v>128569.06</v>
      </c>
      <c r="I11" s="21">
        <f t="shared" si="3"/>
        <v>1.1716191332455024E-2</v>
      </c>
      <c r="J11" t="s">
        <v>433</v>
      </c>
      <c r="K11" s="22">
        <f>_xlfn.XLOOKUP(C11,'Price &amp; Other Market Data'!$F:$F,'Price &amp; Other Market Data'!J:J)</f>
        <v>-7.6E-3</v>
      </c>
      <c r="L11" s="19">
        <f>_xlfn.XLOOKUP(C11,'Price &amp; Other Market Data'!$F:$F,'Price &amp; Other Market Data'!K:K)</f>
        <v>176.41</v>
      </c>
      <c r="M11" s="19">
        <f>_xlfn.XLOOKUP(C11,'Price &amp; Other Market Data'!$F:$F,'Price &amp; Other Market Data'!L:L)</f>
        <v>97.8</v>
      </c>
    </row>
    <row r="12" spans="1:13" x14ac:dyDescent="0.3">
      <c r="A12" t="str">
        <f t="shared" si="0"/>
        <v>PLTR US Equity</v>
      </c>
      <c r="B12" t="s">
        <v>177</v>
      </c>
      <c r="C12" t="str">
        <f t="shared" si="1"/>
        <v>PLTR</v>
      </c>
      <c r="D12" t="str">
        <f>_xlfn.XLOOKUP(C12,'Price &amp; Other Market Data'!F:F,'Price &amp; Other Market Data'!I:I)</f>
        <v>Palantir Technologies Inc</v>
      </c>
      <c r="E12" s="13">
        <f>+'Price &amp; Other Market Data'!$B$3</f>
        <v>46120</v>
      </c>
      <c r="F12">
        <f>_xlfn.XLOOKUP(B12,'LH_Holding_Custody T'!G:G,'LH_Holding_Custody T'!J:J)</f>
        <v>357</v>
      </c>
      <c r="G12" s="19">
        <f>_xlfn.XLOOKUP(C12,'Price &amp; Other Market Data'!F:F,'Price &amp; Other Market Data'!H:H)</f>
        <v>140.76</v>
      </c>
      <c r="H12" s="19">
        <f t="shared" si="2"/>
        <v>50251.32</v>
      </c>
      <c r="I12" s="21">
        <f t="shared" si="3"/>
        <v>4.579282759230128E-3</v>
      </c>
      <c r="J12" t="s">
        <v>315</v>
      </c>
      <c r="K12" s="22">
        <f>_xlfn.XLOOKUP(C12,'Price &amp; Other Market Data'!$F:$F,'Price &amp; Other Market Data'!J:J)</f>
        <v>-7.2599999999999998E-2</v>
      </c>
      <c r="L12" s="19">
        <f>_xlfn.XLOOKUP(C12,'Price &amp; Other Market Data'!$F:$F,'Price &amp; Other Market Data'!K:K)</f>
        <v>207.52</v>
      </c>
      <c r="M12" s="19">
        <f>_xlfn.XLOOKUP(C12,'Price &amp; Other Market Data'!$F:$F,'Price &amp; Other Market Data'!L:L)</f>
        <v>84.14</v>
      </c>
    </row>
    <row r="13" spans="1:13" x14ac:dyDescent="0.3">
      <c r="A13" t="str">
        <f t="shared" si="0"/>
        <v>KGS US Equity</v>
      </c>
      <c r="B13" t="s">
        <v>179</v>
      </c>
      <c r="C13" t="str">
        <f t="shared" si="1"/>
        <v>KGS</v>
      </c>
      <c r="D13" t="str">
        <f>_xlfn.XLOOKUP(C13,'Price &amp; Other Market Data'!F:F,'Price &amp; Other Market Data'!I:I)</f>
        <v>Kodiak Gas Services Inc</v>
      </c>
      <c r="E13" s="13">
        <f>+'Price &amp; Other Market Data'!$B$3</f>
        <v>46120</v>
      </c>
      <c r="F13">
        <f>_xlfn.XLOOKUP(B13,'LH_Holding_Custody T'!G:G,'LH_Holding_Custody T'!J:J)</f>
        <v>2796</v>
      </c>
      <c r="G13" s="19">
        <f>_xlfn.XLOOKUP(C13,'Price &amp; Other Market Data'!F:F,'Price &amp; Other Market Data'!H:H)</f>
        <v>60.23</v>
      </c>
      <c r="H13" s="19">
        <f t="shared" si="2"/>
        <v>168403.08</v>
      </c>
      <c r="I13" s="21">
        <f t="shared" si="3"/>
        <v>1.5346170425876412E-2</v>
      </c>
      <c r="J13" t="s">
        <v>432</v>
      </c>
      <c r="K13" s="22">
        <f>_xlfn.XLOOKUP(C13,'Price &amp; Other Market Data'!$F:$F,'Price &amp; Other Market Data'!J:J)</f>
        <v>2.5000000000000001E-3</v>
      </c>
      <c r="L13" s="19">
        <f>_xlfn.XLOOKUP(C13,'Price &amp; Other Market Data'!$F:$F,'Price &amp; Other Market Data'!K:K)</f>
        <v>61.48</v>
      </c>
      <c r="M13" s="19">
        <f>_xlfn.XLOOKUP(C13,'Price &amp; Other Market Data'!$F:$F,'Price &amp; Other Market Data'!L:L)</f>
        <v>30.06</v>
      </c>
    </row>
    <row r="14" spans="1:13" x14ac:dyDescent="0.3">
      <c r="A14" t="str">
        <f t="shared" si="0"/>
        <v>XLK US Equity</v>
      </c>
      <c r="B14" t="s">
        <v>181</v>
      </c>
      <c r="C14" t="str">
        <f t="shared" si="1"/>
        <v>XLK</v>
      </c>
      <c r="D14" t="str">
        <f>_xlfn.XLOOKUP(C14,'Price &amp; Other Market Data'!F:F,'Price &amp; Other Market Data'!I:I)</f>
        <v>State Street Technology Select Sector SPDR ETF</v>
      </c>
      <c r="E14" s="13">
        <f>+'Price &amp; Other Market Data'!$B$3</f>
        <v>46120</v>
      </c>
      <c r="F14">
        <f>_xlfn.XLOOKUP(B14,'LH_Holding_Custody T'!G:G,'LH_Holding_Custody T'!J:J)</f>
        <v>4544</v>
      </c>
      <c r="G14" s="19">
        <f>_xlfn.XLOOKUP(C14,'Price &amp; Other Market Data'!F:F,'Price &amp; Other Market Data'!H:H)</f>
        <v>141.69</v>
      </c>
      <c r="H14" s="19">
        <f t="shared" si="2"/>
        <v>643839.36</v>
      </c>
      <c r="I14" s="21">
        <f t="shared" si="3"/>
        <v>5.867154297562252E-2</v>
      </c>
      <c r="J14" t="s">
        <v>433</v>
      </c>
      <c r="K14" s="22">
        <f>_xlfn.XLOOKUP(C14,'Price &amp; Other Market Data'!$F:$F,'Price &amp; Other Market Data'!J:J)</f>
        <v>2.7000000000000001E-3</v>
      </c>
      <c r="L14" s="19">
        <f>_xlfn.XLOOKUP(C14,'Price &amp; Other Market Data'!$F:$F,'Price &amp; Other Market Data'!K:K)</f>
        <v>152.99</v>
      </c>
      <c r="M14" s="19">
        <f>_xlfn.XLOOKUP(C14,'Price &amp; Other Market Data'!$F:$F,'Price &amp; Other Market Data'!L:L)</f>
        <v>89.94</v>
      </c>
    </row>
    <row r="15" spans="1:13" x14ac:dyDescent="0.3">
      <c r="A15" t="str">
        <f t="shared" si="0"/>
        <v>XLP US Equity</v>
      </c>
      <c r="B15" t="s">
        <v>183</v>
      </c>
      <c r="C15" t="str">
        <f t="shared" si="1"/>
        <v>XLP</v>
      </c>
      <c r="D15" t="str">
        <f>_xlfn.XLOOKUP(C15,'Price &amp; Other Market Data'!F:F,'Price &amp; Other Market Data'!I:I)</f>
        <v>State Street Cons Staples Sel Sec SPDR Inc ETF</v>
      </c>
      <c r="E15" s="13">
        <f>+'Price &amp; Other Market Data'!$B$3</f>
        <v>46120</v>
      </c>
      <c r="F15">
        <f>_xlfn.XLOOKUP(B15,'LH_Holding_Custody T'!G:G,'LH_Holding_Custody T'!J:J)</f>
        <v>1106</v>
      </c>
      <c r="G15" s="19">
        <f>_xlfn.XLOOKUP(C15,'Price &amp; Other Market Data'!F:F,'Price &amp; Other Market Data'!H:H)</f>
        <v>82.78</v>
      </c>
      <c r="H15" s="19">
        <f t="shared" si="2"/>
        <v>91554.680000000008</v>
      </c>
      <c r="I15" s="21">
        <f t="shared" si="3"/>
        <v>8.3431592971255561E-3</v>
      </c>
      <c r="J15" t="s">
        <v>315</v>
      </c>
      <c r="K15" s="22">
        <f>_xlfn.XLOOKUP(C15,'Price &amp; Other Market Data'!$F:$F,'Price &amp; Other Market Data'!J:J)</f>
        <v>8.0999999999999996E-3</v>
      </c>
      <c r="L15" s="19">
        <f>_xlfn.XLOOKUP(C15,'Price &amp; Other Market Data'!$F:$F,'Price &amp; Other Market Data'!K:K)</f>
        <v>90.14</v>
      </c>
      <c r="M15" s="19">
        <f>_xlfn.XLOOKUP(C15,'Price &amp; Other Market Data'!$F:$F,'Price &amp; Other Market Data'!L:L)</f>
        <v>75.16</v>
      </c>
    </row>
    <row r="16" spans="1:13" x14ac:dyDescent="0.3">
      <c r="A16" t="str">
        <f t="shared" si="0"/>
        <v>RSI US Equity</v>
      </c>
      <c r="B16" t="s">
        <v>185</v>
      </c>
      <c r="C16" t="str">
        <f t="shared" si="1"/>
        <v>RSI</v>
      </c>
      <c r="D16" t="str">
        <f>_xlfn.XLOOKUP(C16,'Price &amp; Other Market Data'!F:F,'Price &amp; Other Market Data'!I:I)</f>
        <v>Rush Street Interactive Inc</v>
      </c>
      <c r="E16" s="13">
        <f>+'Price &amp; Other Market Data'!$B$3</f>
        <v>46120</v>
      </c>
      <c r="F16">
        <f>_xlfn.XLOOKUP(B16,'LH_Holding_Custody T'!G:G,'LH_Holding_Custody T'!J:J)</f>
        <v>966</v>
      </c>
      <c r="G16" s="19">
        <f>_xlfn.XLOOKUP(C16,'Price &amp; Other Market Data'!F:F,'Price &amp; Other Market Data'!H:H)</f>
        <v>22.21</v>
      </c>
      <c r="H16" s="19">
        <f t="shared" si="2"/>
        <v>21454.86</v>
      </c>
      <c r="I16" s="21">
        <f t="shared" si="3"/>
        <v>1.9551301438389302E-3</v>
      </c>
      <c r="J16" t="s">
        <v>432</v>
      </c>
      <c r="K16" s="22">
        <f>_xlfn.XLOOKUP(C16,'Price &amp; Other Market Data'!$F:$F,'Price &amp; Other Market Data'!J:J)</f>
        <v>-3.5999999999999997E-2</v>
      </c>
      <c r="L16" s="19">
        <f>_xlfn.XLOOKUP(C16,'Price &amp; Other Market Data'!$F:$F,'Price &amp; Other Market Data'!K:K)</f>
        <v>23.15</v>
      </c>
      <c r="M16" s="19">
        <f>_xlfn.XLOOKUP(C16,'Price &amp; Other Market Data'!$F:$F,'Price &amp; Other Market Data'!L:L)</f>
        <v>10.88</v>
      </c>
    </row>
    <row r="17" spans="1:13" x14ac:dyDescent="0.3">
      <c r="A17" t="str">
        <f t="shared" si="0"/>
        <v>XLB US Equity</v>
      </c>
      <c r="B17" t="s">
        <v>187</v>
      </c>
      <c r="C17" t="str">
        <f t="shared" si="1"/>
        <v>XLB</v>
      </c>
      <c r="D17" t="str">
        <f>_xlfn.XLOOKUP(C17,'Price &amp; Other Market Data'!F:F,'Price &amp; Other Market Data'!I:I)</f>
        <v>State Street Materials Select Sector SPDR ETF</v>
      </c>
      <c r="E17" s="13">
        <f>+'Price &amp; Other Market Data'!$B$3</f>
        <v>46120</v>
      </c>
      <c r="F17">
        <f>_xlfn.XLOOKUP(B17,'LH_Holding_Custody T'!G:G,'LH_Holding_Custody T'!J:J)</f>
        <v>755</v>
      </c>
      <c r="G17" s="19">
        <f>_xlfn.XLOOKUP(C17,'Price &amp; Other Market Data'!F:F,'Price &amp; Other Market Data'!H:H)</f>
        <v>51.75</v>
      </c>
      <c r="H17" s="19">
        <f t="shared" si="2"/>
        <v>39071.25</v>
      </c>
      <c r="I17" s="21">
        <f t="shared" si="3"/>
        <v>3.5604696853051847E-3</v>
      </c>
      <c r="J17" t="s">
        <v>315</v>
      </c>
      <c r="K17" s="22">
        <f>_xlfn.XLOOKUP(C17,'Price &amp; Other Market Data'!$F:$F,'Price &amp; Other Market Data'!J:J)</f>
        <v>-1.5E-3</v>
      </c>
      <c r="L17" s="19">
        <f>_xlfn.XLOOKUP(C17,'Price &amp; Other Market Data'!$F:$F,'Price &amp; Other Market Data'!K:K)</f>
        <v>54.14</v>
      </c>
      <c r="M17" s="19">
        <f>_xlfn.XLOOKUP(C17,'Price &amp; Other Market Data'!$F:$F,'Price &amp; Other Market Data'!L:L)</f>
        <v>36.880000000000003</v>
      </c>
    </row>
    <row r="18" spans="1:13" x14ac:dyDescent="0.3">
      <c r="A18" t="str">
        <f t="shared" si="0"/>
        <v>AAPL US Equity</v>
      </c>
      <c r="B18" t="s">
        <v>189</v>
      </c>
      <c r="C18" t="str">
        <f t="shared" si="1"/>
        <v>AAPL</v>
      </c>
      <c r="D18" t="str">
        <f>_xlfn.XLOOKUP(C18,'Price &amp; Other Market Data'!F:F,'Price &amp; Other Market Data'!I:I)</f>
        <v>Apple Inc</v>
      </c>
      <c r="E18" s="13">
        <f>+'Price &amp; Other Market Data'!$B$3</f>
        <v>46120</v>
      </c>
      <c r="F18">
        <f>_xlfn.XLOOKUP(B18,'LH_Holding_Custody T'!G:G,'LH_Holding_Custody T'!J:J)</f>
        <v>1717</v>
      </c>
      <c r="G18" s="19">
        <f>_xlfn.XLOOKUP(C18,'Price &amp; Other Market Data'!F:F,'Price &amp; Other Market Data'!H:H)</f>
        <v>258.89999999999998</v>
      </c>
      <c r="H18" s="19">
        <f t="shared" si="2"/>
        <v>444531.3</v>
      </c>
      <c r="I18" s="21">
        <f t="shared" si="3"/>
        <v>4.0509075543252504E-2</v>
      </c>
      <c r="J18" t="s">
        <v>432</v>
      </c>
      <c r="K18" s="22">
        <f>_xlfn.XLOOKUP(C18,'Price &amp; Other Market Data'!$F:$F,'Price &amp; Other Market Data'!J:J)</f>
        <v>6.1000000000000004E-3</v>
      </c>
      <c r="L18" s="19">
        <f>_xlfn.XLOOKUP(C18,'Price &amp; Other Market Data'!$F:$F,'Price &amp; Other Market Data'!K:K)</f>
        <v>288.61</v>
      </c>
      <c r="M18" s="19">
        <f>_xlfn.XLOOKUP(C18,'Price &amp; Other Market Data'!$F:$F,'Price &amp; Other Market Data'!L:L)</f>
        <v>183</v>
      </c>
    </row>
    <row r="19" spans="1:13" x14ac:dyDescent="0.3">
      <c r="A19" t="str">
        <f t="shared" si="0"/>
        <v>MCW US Equity</v>
      </c>
      <c r="B19" t="s">
        <v>191</v>
      </c>
      <c r="C19" t="str">
        <f t="shared" si="1"/>
        <v>MCW</v>
      </c>
      <c r="D19" t="str">
        <f>_xlfn.XLOOKUP(C19,'Price &amp; Other Market Data'!F:F,'Price &amp; Other Market Data'!I:I)</f>
        <v>Mister Car Wash Inc</v>
      </c>
      <c r="E19" s="13">
        <f>+'Price &amp; Other Market Data'!$B$3</f>
        <v>46120</v>
      </c>
      <c r="F19">
        <f>_xlfn.XLOOKUP(B19,'LH_Holding_Custody T'!G:G,'LH_Holding_Custody T'!J:J)</f>
        <v>2345</v>
      </c>
      <c r="G19" s="19">
        <f>_xlfn.XLOOKUP(C19,'Price &amp; Other Market Data'!F:F,'Price &amp; Other Market Data'!H:H)</f>
        <v>6.99</v>
      </c>
      <c r="H19" s="19">
        <f t="shared" si="2"/>
        <v>16391.55</v>
      </c>
      <c r="I19" s="21">
        <f t="shared" si="3"/>
        <v>1.4937227979694582E-3</v>
      </c>
      <c r="J19" t="s">
        <v>433</v>
      </c>
      <c r="K19" s="22">
        <f>_xlfn.XLOOKUP(C19,'Price &amp; Other Market Data'!$F:$F,'Price &amp; Other Market Data'!J:J)</f>
        <v>0</v>
      </c>
      <c r="L19" s="19">
        <f>_xlfn.XLOOKUP(C19,'Price &amp; Other Market Data'!$F:$F,'Price &amp; Other Market Data'!K:K)</f>
        <v>7.98</v>
      </c>
      <c r="M19" s="19">
        <f>_xlfn.XLOOKUP(C19,'Price &amp; Other Market Data'!$F:$F,'Price &amp; Other Market Data'!L:L)</f>
        <v>4.6100000000000003</v>
      </c>
    </row>
    <row r="20" spans="1:13" x14ac:dyDescent="0.3">
      <c r="A20" t="str">
        <f t="shared" si="0"/>
        <v>MSFT US Equity</v>
      </c>
      <c r="B20" t="s">
        <v>193</v>
      </c>
      <c r="C20" t="str">
        <f t="shared" si="1"/>
        <v>MSFT</v>
      </c>
      <c r="D20" t="str">
        <f>_xlfn.XLOOKUP(C20,'Price &amp; Other Market Data'!F:F,'Price &amp; Other Market Data'!I:I)</f>
        <v>Microsoft Corp</v>
      </c>
      <c r="E20" s="13">
        <f>+'Price &amp; Other Market Data'!$B$3</f>
        <v>46120</v>
      </c>
      <c r="F20">
        <f>_xlfn.XLOOKUP(B20,'LH_Holding_Custody T'!G:G,'LH_Holding_Custody T'!J:J)</f>
        <v>879</v>
      </c>
      <c r="G20" s="19">
        <f>_xlfn.XLOOKUP(C20,'Price &amp; Other Market Data'!F:F,'Price &amp; Other Market Data'!H:H)</f>
        <v>374.33</v>
      </c>
      <c r="H20" s="19">
        <f t="shared" si="2"/>
        <v>329036.07</v>
      </c>
      <c r="I20" s="21">
        <f t="shared" si="3"/>
        <v>2.9984271110009397E-2</v>
      </c>
      <c r="J20" t="s">
        <v>315</v>
      </c>
      <c r="K20" s="22">
        <f>_xlfn.XLOOKUP(C20,'Price &amp; Other Market Data'!$F:$F,'Price &amp; Other Market Data'!J:J)</f>
        <v>-3.3999999999999998E-3</v>
      </c>
      <c r="L20" s="19">
        <f>_xlfn.XLOOKUP(C20,'Price &amp; Other Market Data'!$F:$F,'Price &amp; Other Market Data'!K:K)</f>
        <v>555.45000000000005</v>
      </c>
      <c r="M20" s="19">
        <f>_xlfn.XLOOKUP(C20,'Price &amp; Other Market Data'!$F:$F,'Price &amp; Other Market Data'!L:L)</f>
        <v>355.67</v>
      </c>
    </row>
    <row r="21" spans="1:13" x14ac:dyDescent="0.3">
      <c r="A21" t="str">
        <f t="shared" si="0"/>
        <v>NKE US Equity</v>
      </c>
      <c r="B21" t="s">
        <v>195</v>
      </c>
      <c r="C21" t="str">
        <f t="shared" si="1"/>
        <v>NKE</v>
      </c>
      <c r="D21" t="str">
        <f>_xlfn.XLOOKUP(C21,'Price &amp; Other Market Data'!F:F,'Price &amp; Other Market Data'!I:I)</f>
        <v>Nike Inc</v>
      </c>
      <c r="E21" s="13">
        <f>+'Price &amp; Other Market Data'!$B$3</f>
        <v>46120</v>
      </c>
      <c r="F21">
        <f>_xlfn.XLOOKUP(B21,'LH_Holding_Custody T'!G:G,'LH_Holding_Custody T'!J:J)</f>
        <v>587</v>
      </c>
      <c r="G21" s="19">
        <f>_xlfn.XLOOKUP(C21,'Price &amp; Other Market Data'!F:F,'Price &amp; Other Market Data'!H:H)</f>
        <v>43.13</v>
      </c>
      <c r="H21" s="19">
        <f t="shared" si="2"/>
        <v>25317.31</v>
      </c>
      <c r="I21" s="21">
        <f t="shared" si="3"/>
        <v>2.3071059863319912E-3</v>
      </c>
      <c r="J21" t="s">
        <v>432</v>
      </c>
      <c r="K21" s="22">
        <f>_xlfn.XLOOKUP(C21,'Price &amp; Other Market Data'!$F:$F,'Price &amp; Other Market Data'!J:J)</f>
        <v>2.0199999999999999E-2</v>
      </c>
      <c r="L21" s="19">
        <f>_xlfn.XLOOKUP(C21,'Price &amp; Other Market Data'!$F:$F,'Price &amp; Other Market Data'!K:K)</f>
        <v>80.17</v>
      </c>
      <c r="M21" s="19">
        <f>_xlfn.XLOOKUP(C21,'Price &amp; Other Market Data'!$F:$F,'Price &amp; Other Market Data'!L:L)</f>
        <v>42.36</v>
      </c>
    </row>
    <row r="22" spans="1:13" x14ac:dyDescent="0.3">
      <c r="A22" t="str">
        <f t="shared" si="0"/>
        <v>ASTS US Equity</v>
      </c>
      <c r="B22" t="s">
        <v>197</v>
      </c>
      <c r="C22" t="str">
        <f t="shared" si="1"/>
        <v>ASTS</v>
      </c>
      <c r="D22" t="str">
        <f>_xlfn.XLOOKUP(C22,'Price &amp; Other Market Data'!F:F,'Price &amp; Other Market Data'!I:I)</f>
        <v>AST SpaceMobile Inc</v>
      </c>
      <c r="E22" s="13">
        <f>+'Price &amp; Other Market Data'!$B$3</f>
        <v>46120</v>
      </c>
      <c r="F22">
        <f>_xlfn.XLOOKUP(B22,'LH_Holding_Custody T'!G:G,'LH_Holding_Custody T'!J:J)</f>
        <v>438</v>
      </c>
      <c r="G22" s="19">
        <f>_xlfn.XLOOKUP(C22,'Price &amp; Other Market Data'!F:F,'Price &amp; Other Market Data'!H:H)</f>
        <v>96.46</v>
      </c>
      <c r="H22" s="19">
        <f t="shared" si="2"/>
        <v>42249.479999999996</v>
      </c>
      <c r="I22" s="21">
        <f t="shared" si="3"/>
        <v>3.8500941935542803E-3</v>
      </c>
      <c r="J22" t="s">
        <v>433</v>
      </c>
      <c r="K22" s="22">
        <f>_xlfn.XLOOKUP(C22,'Price &amp; Other Market Data'!$F:$F,'Price &amp; Other Market Data'!J:J)</f>
        <v>-5.0299999999999997E-2</v>
      </c>
      <c r="L22" s="19">
        <f>_xlfn.XLOOKUP(C22,'Price &amp; Other Market Data'!$F:$F,'Price &amp; Other Market Data'!K:K)</f>
        <v>129.87</v>
      </c>
      <c r="M22" s="19">
        <f>_xlfn.XLOOKUP(C22,'Price &amp; Other Market Data'!$F:$F,'Price &amp; Other Market Data'!L:L)</f>
        <v>20.260000000000002</v>
      </c>
    </row>
    <row r="23" spans="1:13" x14ac:dyDescent="0.3">
      <c r="A23" t="str">
        <f t="shared" si="0"/>
        <v>XLE US Equity</v>
      </c>
      <c r="B23" t="s">
        <v>199</v>
      </c>
      <c r="C23" t="str">
        <f t="shared" si="1"/>
        <v>XLE</v>
      </c>
      <c r="D23" t="str">
        <f>_xlfn.XLOOKUP(C23,'Price &amp; Other Market Data'!F:F,'Price &amp; Other Market Data'!I:I)</f>
        <v>State Street Energy Select Sector SPDR ETF</v>
      </c>
      <c r="E23" s="13">
        <f>+'Price &amp; Other Market Data'!$B$3</f>
        <v>46120</v>
      </c>
      <c r="F23">
        <f>_xlfn.XLOOKUP(B23,'LH_Holding_Custody T'!G:G,'LH_Holding_Custody T'!J:J)</f>
        <v>1411</v>
      </c>
      <c r="G23" s="19">
        <f>_xlfn.XLOOKUP(C23,'Price &amp; Other Market Data'!F:F,'Price &amp; Other Market Data'!H:H)</f>
        <v>58.05</v>
      </c>
      <c r="H23" s="19">
        <f t="shared" si="2"/>
        <v>81908.55</v>
      </c>
      <c r="I23" s="21">
        <f t="shared" si="3"/>
        <v>7.4641305113684357E-3</v>
      </c>
      <c r="J23" t="s">
        <v>315</v>
      </c>
      <c r="K23" s="22">
        <f>_xlfn.XLOOKUP(C23,'Price &amp; Other Market Data'!$F:$F,'Price &amp; Other Market Data'!J:J)</f>
        <v>-1.24E-2</v>
      </c>
      <c r="L23" s="19">
        <f>_xlfn.XLOOKUP(C23,'Price &amp; Other Market Data'!$F:$F,'Price &amp; Other Market Data'!K:K)</f>
        <v>63.46</v>
      </c>
      <c r="M23" s="19">
        <f>_xlfn.XLOOKUP(C23,'Price &amp; Other Market Data'!$F:$F,'Price &amp; Other Market Data'!L:L)</f>
        <v>37.24</v>
      </c>
    </row>
    <row r="24" spans="1:13" x14ac:dyDescent="0.3">
      <c r="A24" t="str">
        <f t="shared" si="0"/>
        <v>XLI US Equity</v>
      </c>
      <c r="B24" t="s">
        <v>201</v>
      </c>
      <c r="C24" t="str">
        <f t="shared" si="1"/>
        <v>XLI</v>
      </c>
      <c r="D24" t="str">
        <f>_xlfn.XLOOKUP(C24,'Price &amp; Other Market Data'!F:F,'Price &amp; Other Market Data'!I:I)</f>
        <v>State Street Industrial Select Sector SPDR ETF</v>
      </c>
      <c r="E24" s="13">
        <f>+'Price &amp; Other Market Data'!$B$3</f>
        <v>46120</v>
      </c>
      <c r="F24">
        <f>_xlfn.XLOOKUP(B24,'LH_Holding_Custody T'!G:G,'LH_Holding_Custody T'!J:J)</f>
        <v>2640</v>
      </c>
      <c r="G24" s="19">
        <f>_xlfn.XLOOKUP(C24,'Price &amp; Other Market Data'!F:F,'Price &amp; Other Market Data'!H:H)</f>
        <v>170.44</v>
      </c>
      <c r="H24" s="19">
        <f t="shared" si="2"/>
        <v>449961.6</v>
      </c>
      <c r="I24" s="21">
        <f t="shared" si="3"/>
        <v>4.1003925811214571E-2</v>
      </c>
      <c r="J24" t="s">
        <v>432</v>
      </c>
      <c r="K24" s="22">
        <f>_xlfn.XLOOKUP(C24,'Price &amp; Other Market Data'!$F:$F,'Price &amp; Other Market Data'!J:J)</f>
        <v>1.03E-2</v>
      </c>
      <c r="L24" s="19">
        <f>_xlfn.XLOOKUP(C24,'Price &amp; Other Market Data'!$F:$F,'Price &amp; Other Market Data'!K:K)</f>
        <v>179.31</v>
      </c>
      <c r="M24" s="19">
        <f>_xlfn.XLOOKUP(C24,'Price &amp; Other Market Data'!$F:$F,'Price &amp; Other Market Data'!L:L)</f>
        <v>119.91</v>
      </c>
    </row>
    <row r="25" spans="1:13" x14ac:dyDescent="0.3">
      <c r="A25" t="str">
        <f t="shared" si="0"/>
        <v>WMT US Equity</v>
      </c>
      <c r="B25" t="s">
        <v>203</v>
      </c>
      <c r="C25" t="str">
        <f t="shared" si="1"/>
        <v>WMT</v>
      </c>
      <c r="D25" t="str">
        <f>_xlfn.XLOOKUP(C25,'Price &amp; Other Market Data'!F:F,'Price &amp; Other Market Data'!I:I)</f>
        <v>Walmart Inc</v>
      </c>
      <c r="E25" s="13">
        <f>+'Price &amp; Other Market Data'!$B$3</f>
        <v>46120</v>
      </c>
      <c r="F25">
        <f>_xlfn.XLOOKUP(B25,'LH_Holding_Custody T'!G:G,'LH_Holding_Custody T'!J:J)</f>
        <v>675</v>
      </c>
      <c r="G25" s="19">
        <f>_xlfn.XLOOKUP(C25,'Price &amp; Other Market Data'!F:F,'Price &amp; Other Market Data'!H:H)</f>
        <v>127.26</v>
      </c>
      <c r="H25" s="19">
        <f t="shared" si="2"/>
        <v>85900.5</v>
      </c>
      <c r="I25" s="21">
        <f t="shared" si="3"/>
        <v>7.82790737953247E-3</v>
      </c>
      <c r="J25" t="s">
        <v>433</v>
      </c>
      <c r="K25" s="22">
        <f>_xlfn.XLOOKUP(C25,'Price &amp; Other Market Data'!$F:$F,'Price &amp; Other Market Data'!J:J)</f>
        <v>1.47E-2</v>
      </c>
      <c r="L25" s="19">
        <f>_xlfn.XLOOKUP(C25,'Price &amp; Other Market Data'!$F:$F,'Price &amp; Other Market Data'!K:K)</f>
        <v>134.69</v>
      </c>
      <c r="M25" s="19">
        <f>_xlfn.XLOOKUP(C25,'Price &amp; Other Market Data'!$F:$F,'Price &amp; Other Market Data'!L:L)</f>
        <v>88.16</v>
      </c>
    </row>
    <row r="26" spans="1:13" x14ac:dyDescent="0.3">
      <c r="A26" t="str">
        <f t="shared" si="0"/>
        <v>IVV US Equity</v>
      </c>
      <c r="B26" t="s">
        <v>205</v>
      </c>
      <c r="C26" t="str">
        <f t="shared" si="1"/>
        <v>IVV</v>
      </c>
      <c r="D26" t="str">
        <f>_xlfn.XLOOKUP(C26,'Price &amp; Other Market Data'!F:F,'Price &amp; Other Market Data'!I:I)</f>
        <v>iShares Core S&amp;P 500 ETF</v>
      </c>
      <c r="E26" s="13">
        <f>+'Price &amp; Other Market Data'!$B$3</f>
        <v>46120</v>
      </c>
      <c r="F26">
        <f>_xlfn.XLOOKUP(B26,'LH_Holding_Custody T'!G:G,'LH_Holding_Custody T'!J:J)</f>
        <v>2990</v>
      </c>
      <c r="G26" s="19">
        <f>_xlfn.XLOOKUP(C26,'Price &amp; Other Market Data'!F:F,'Price &amp; Other Market Data'!H:H)</f>
        <v>678.99</v>
      </c>
      <c r="H26" s="19">
        <f t="shared" si="2"/>
        <v>2030180.1</v>
      </c>
      <c r="I26" s="21">
        <f t="shared" si="3"/>
        <v>0.18500546314130847</v>
      </c>
      <c r="J26" t="s">
        <v>315</v>
      </c>
      <c r="K26" s="22">
        <f>_xlfn.XLOOKUP(C26,'Price &amp; Other Market Data'!$F:$F,'Price &amp; Other Market Data'!J:J)</f>
        <v>5.8999999999999999E-3</v>
      </c>
      <c r="L26" s="19">
        <f>_xlfn.XLOOKUP(C26,'Price &amp; Other Market Data'!$F:$F,'Price &amp; Other Market Data'!K:K)</f>
        <v>700.96</v>
      </c>
      <c r="M26" s="19">
        <f>_xlfn.XLOOKUP(C26,'Price &amp; Other Market Data'!$F:$F,'Price &amp; Other Market Data'!L:L)</f>
        <v>510.91</v>
      </c>
    </row>
    <row r="27" spans="1:13" x14ac:dyDescent="0.3">
      <c r="A27" t="str">
        <f t="shared" si="0"/>
        <v>HON US Equity</v>
      </c>
      <c r="B27" t="s">
        <v>207</v>
      </c>
      <c r="C27" t="str">
        <f t="shared" si="1"/>
        <v>HON</v>
      </c>
      <c r="D27" t="str">
        <f>_xlfn.XLOOKUP(C27,'Price &amp; Other Market Data'!F:F,'Price &amp; Other Market Data'!I:I)</f>
        <v>Honeywell International Inc</v>
      </c>
      <c r="E27" s="13">
        <f>+'Price &amp; Other Market Data'!$B$3</f>
        <v>46120</v>
      </c>
      <c r="F27">
        <f>_xlfn.XLOOKUP(B27,'LH_Holding_Custody T'!G:G,'LH_Holding_Custody T'!J:J)</f>
        <v>60</v>
      </c>
      <c r="G27" s="19">
        <f>_xlfn.XLOOKUP(C27,'Price &amp; Other Market Data'!F:F,'Price &amp; Other Market Data'!H:H)</f>
        <v>232.47</v>
      </c>
      <c r="H27" s="19">
        <f t="shared" si="2"/>
        <v>13948.2</v>
      </c>
      <c r="I27" s="21">
        <f t="shared" si="3"/>
        <v>1.2710661487557674E-3</v>
      </c>
      <c r="J27" t="s">
        <v>432</v>
      </c>
      <c r="K27" s="22">
        <f>_xlfn.XLOOKUP(C27,'Price &amp; Other Market Data'!$F:$F,'Price &amp; Other Market Data'!J:J)</f>
        <v>1.54E-2</v>
      </c>
      <c r="L27" s="19">
        <f>_xlfn.XLOOKUP(C27,'Price &amp; Other Market Data'!$F:$F,'Price &amp; Other Market Data'!K:K)</f>
        <v>248.18</v>
      </c>
      <c r="M27" s="19">
        <f>_xlfn.XLOOKUP(C27,'Price &amp; Other Market Data'!$F:$F,'Price &amp; Other Market Data'!L:L)</f>
        <v>168.99</v>
      </c>
    </row>
    <row r="28" spans="1:13" x14ac:dyDescent="0.3">
      <c r="A28" t="str">
        <f t="shared" si="0"/>
        <v>GOOGL US Equity</v>
      </c>
      <c r="B28" t="s">
        <v>209</v>
      </c>
      <c r="C28" t="str">
        <f t="shared" si="1"/>
        <v>GOOGL</v>
      </c>
      <c r="D28" t="str">
        <f>_xlfn.XLOOKUP(C28,'Price &amp; Other Market Data'!F:F,'Price &amp; Other Market Data'!I:I)</f>
        <v>Alphabet Inc Class A</v>
      </c>
      <c r="E28" s="13">
        <f>+'Price &amp; Other Market Data'!$B$3</f>
        <v>46120</v>
      </c>
      <c r="F28">
        <f>_xlfn.XLOOKUP(B28,'LH_Holding_Custody T'!G:G,'LH_Holding_Custody T'!J:J)</f>
        <v>683</v>
      </c>
      <c r="G28" s="19">
        <f>_xlfn.XLOOKUP(C28,'Price &amp; Other Market Data'!F:F,'Price &amp; Other Market Data'!H:H)</f>
        <v>317.32</v>
      </c>
      <c r="H28" s="19">
        <f t="shared" si="2"/>
        <v>216729.56</v>
      </c>
      <c r="I28" s="21">
        <f t="shared" si="3"/>
        <v>1.9750047113658537E-2</v>
      </c>
      <c r="J28" t="s">
        <v>433</v>
      </c>
      <c r="K28" s="22">
        <f>_xlfn.XLOOKUP(C28,'Price &amp; Other Market Data'!$F:$F,'Price &amp; Other Market Data'!J:J)</f>
        <v>3.5999999999999999E-3</v>
      </c>
      <c r="L28" s="19">
        <f>_xlfn.XLOOKUP(C28,'Price &amp; Other Market Data'!$F:$F,'Price &amp; Other Market Data'!K:K)</f>
        <v>349</v>
      </c>
      <c r="M28" s="19">
        <f>_xlfn.XLOOKUP(C28,'Price &amp; Other Market Data'!$F:$F,'Price &amp; Other Market Data'!L:L)</f>
        <v>146.1</v>
      </c>
    </row>
    <row r="29" spans="1:13" x14ac:dyDescent="0.3">
      <c r="A29" t="str">
        <f t="shared" si="0"/>
        <v>GE US Equity</v>
      </c>
      <c r="B29" t="s">
        <v>211</v>
      </c>
      <c r="C29" t="str">
        <f t="shared" si="1"/>
        <v>GE</v>
      </c>
      <c r="D29" t="str">
        <f>_xlfn.XLOOKUP(C29,'Price &amp; Other Market Data'!F:F,'Price &amp; Other Market Data'!I:I)</f>
        <v>General Electric Co</v>
      </c>
      <c r="E29" s="13">
        <f>+'Price &amp; Other Market Data'!$B$3</f>
        <v>46120</v>
      </c>
      <c r="F29">
        <f>_xlfn.XLOOKUP(B29,'LH_Holding_Custody T'!G:G,'LH_Holding_Custody T'!J:J)</f>
        <v>309</v>
      </c>
      <c r="G29" s="19">
        <f>_xlfn.XLOOKUP(C29,'Price &amp; Other Market Data'!F:F,'Price &amp; Other Market Data'!H:H)</f>
        <v>308.06</v>
      </c>
      <c r="H29" s="19">
        <f t="shared" si="2"/>
        <v>95190.54</v>
      </c>
      <c r="I29" s="21">
        <f t="shared" si="3"/>
        <v>8.6744865341608097E-3</v>
      </c>
      <c r="J29" t="s">
        <v>315</v>
      </c>
      <c r="K29" s="22">
        <f>_xlfn.XLOOKUP(C29,'Price &amp; Other Market Data'!$F:$F,'Price &amp; Other Market Data'!J:J)</f>
        <v>1.61E-2</v>
      </c>
      <c r="L29" s="19">
        <f>_xlfn.XLOOKUP(C29,'Price &amp; Other Market Data'!$F:$F,'Price &amp; Other Market Data'!K:K)</f>
        <v>348.48</v>
      </c>
      <c r="M29" s="19">
        <f>_xlfn.XLOOKUP(C29,'Price &amp; Other Market Data'!$F:$F,'Price &amp; Other Market Data'!L:L)</f>
        <v>175.05</v>
      </c>
    </row>
    <row r="30" spans="1:13" x14ac:dyDescent="0.3">
      <c r="A30" t="str">
        <f t="shared" si="0"/>
        <v>LLY US Equity</v>
      </c>
      <c r="B30" t="s">
        <v>213</v>
      </c>
      <c r="C30" t="str">
        <f t="shared" si="1"/>
        <v>LLY</v>
      </c>
      <c r="D30" t="str">
        <f>_xlfn.XLOOKUP(C30,'Price &amp; Other Market Data'!F:F,'Price &amp; Other Market Data'!I:I)</f>
        <v>Eli Lilly And Co</v>
      </c>
      <c r="E30" s="13">
        <f>+'Price &amp; Other Market Data'!$B$3</f>
        <v>46120</v>
      </c>
      <c r="F30">
        <f>_xlfn.XLOOKUP(B30,'LH_Holding_Custody T'!G:G,'LH_Holding_Custody T'!J:J)</f>
        <v>196</v>
      </c>
      <c r="G30" s="19">
        <f>_xlfn.XLOOKUP(C30,'Price &amp; Other Market Data'!F:F,'Price &amp; Other Market Data'!H:H)</f>
        <v>953.3</v>
      </c>
      <c r="H30" s="19">
        <f t="shared" si="2"/>
        <v>186846.8</v>
      </c>
      <c r="I30" s="21">
        <f t="shared" si="3"/>
        <v>1.7026902574048198E-2</v>
      </c>
      <c r="J30" t="s">
        <v>432</v>
      </c>
      <c r="K30" s="22">
        <f>_xlfn.XLOOKUP(C30,'Price &amp; Other Market Data'!$F:$F,'Price &amp; Other Market Data'!J:J)</f>
        <v>2E-3</v>
      </c>
      <c r="L30" s="19">
        <f>_xlfn.XLOOKUP(C30,'Price &amp; Other Market Data'!$F:$F,'Price &amp; Other Market Data'!K:K)</f>
        <v>1133.95</v>
      </c>
      <c r="M30" s="19">
        <f>_xlfn.XLOOKUP(C30,'Price &amp; Other Market Data'!$F:$F,'Price &amp; Other Market Data'!L:L)</f>
        <v>623.78</v>
      </c>
    </row>
    <row r="31" spans="1:13" x14ac:dyDescent="0.3">
      <c r="A31" t="str">
        <f t="shared" si="0"/>
        <v>BRK/B US Equity</v>
      </c>
      <c r="B31" t="s">
        <v>215</v>
      </c>
      <c r="C31" t="str">
        <f t="shared" si="1"/>
        <v>BRK.B</v>
      </c>
      <c r="D31" t="str">
        <f>_xlfn.XLOOKUP(C31,'Price &amp; Other Market Data'!F:F,'Price &amp; Other Market Data'!I:I)</f>
        <v>Berkshire Hathaway Inc Class B</v>
      </c>
      <c r="E31" s="13">
        <f>+'Price &amp; Other Market Data'!$B$3</f>
        <v>46120</v>
      </c>
      <c r="F31">
        <f>_xlfn.XLOOKUP(B31,'LH_Holding_Custody T'!G:G,'LH_Holding_Custody T'!J:J)</f>
        <v>108</v>
      </c>
      <c r="G31" s="19">
        <f>_xlfn.XLOOKUP(C31,'Price &amp; Other Market Data'!F:F,'Price &amp; Other Market Data'!H:H)</f>
        <v>479.75</v>
      </c>
      <c r="H31" s="19">
        <f t="shared" si="2"/>
        <v>51813</v>
      </c>
      <c r="I31" s="21">
        <f t="shared" si="3"/>
        <v>4.7215949273370448E-3</v>
      </c>
      <c r="J31" t="s">
        <v>315</v>
      </c>
      <c r="K31" s="22">
        <f>_xlfn.XLOOKUP(C31,'Price &amp; Other Market Data'!$F:$F,'Price &amp; Other Market Data'!J:J)</f>
        <v>1.14E-2</v>
      </c>
      <c r="L31" s="19">
        <f>_xlfn.XLOOKUP(C31,'Price &amp; Other Market Data'!$F:$F,'Price &amp; Other Market Data'!K:K)</f>
        <v>542.07000000000005</v>
      </c>
      <c r="M31" s="19">
        <f>_xlfn.XLOOKUP(C31,'Price &amp; Other Market Data'!$F:$F,'Price &amp; Other Market Data'!L:L)</f>
        <v>455.19</v>
      </c>
    </row>
    <row r="32" spans="1:13" x14ac:dyDescent="0.3">
      <c r="A32" t="str">
        <f t="shared" si="0"/>
        <v>FIX US Equity</v>
      </c>
      <c r="B32" t="s">
        <v>217</v>
      </c>
      <c r="C32" t="str">
        <f t="shared" si="1"/>
        <v>FIX</v>
      </c>
      <c r="D32" t="str">
        <f>_xlfn.XLOOKUP(C32,'Price &amp; Other Market Data'!F:F,'Price &amp; Other Market Data'!I:I)</f>
        <v>Comfort Systems USA Inc</v>
      </c>
      <c r="E32" s="13">
        <f>+'Price &amp; Other Market Data'!$B$3</f>
        <v>46120</v>
      </c>
      <c r="F32">
        <f>_xlfn.XLOOKUP(B32,'LH_Holding_Custody T'!G:G,'LH_Holding_Custody T'!J:J)</f>
        <v>12</v>
      </c>
      <c r="G32" s="19">
        <f>_xlfn.XLOOKUP(C32,'Price &amp; Other Market Data'!F:F,'Price &amp; Other Market Data'!H:H)</f>
        <v>1525.16</v>
      </c>
      <c r="H32" s="19">
        <f t="shared" si="2"/>
        <v>18301.920000000002</v>
      </c>
      <c r="I32" s="21">
        <f t="shared" si="3"/>
        <v>1.6678102528810998E-3</v>
      </c>
      <c r="J32" t="s">
        <v>432</v>
      </c>
      <c r="K32" s="22">
        <f>_xlfn.XLOOKUP(C32,'Price &amp; Other Market Data'!$F:$F,'Price &amp; Other Market Data'!J:J)</f>
        <v>3.2300000000000002E-2</v>
      </c>
      <c r="L32" s="19">
        <f>_xlfn.XLOOKUP(C32,'Price &amp; Other Market Data'!$F:$F,'Price &amp; Other Market Data'!K:K)</f>
        <v>1601.9</v>
      </c>
      <c r="M32" s="19">
        <f>_xlfn.XLOOKUP(C32,'Price &amp; Other Market Data'!$F:$F,'Price &amp; Other Market Data'!L:L)</f>
        <v>321.95</v>
      </c>
    </row>
    <row r="33" spans="1:13" x14ac:dyDescent="0.3">
      <c r="A33" t="str">
        <f t="shared" si="0"/>
        <v>CMG US Equity</v>
      </c>
      <c r="B33" t="s">
        <v>219</v>
      </c>
      <c r="C33" t="str">
        <f t="shared" si="1"/>
        <v>CMG</v>
      </c>
      <c r="D33" t="str">
        <f>_xlfn.XLOOKUP(C33,'Price &amp; Other Market Data'!F:F,'Price &amp; Other Market Data'!I:I)</f>
        <v>Chipotle Mexican Grill Inc</v>
      </c>
      <c r="E33" s="13">
        <f>+'Price &amp; Other Market Data'!$B$3</f>
        <v>46120</v>
      </c>
      <c r="F33">
        <f>_xlfn.XLOOKUP(B33,'LH_Holding_Custody T'!G:G,'LH_Holding_Custody T'!J:J)</f>
        <v>812</v>
      </c>
      <c r="G33" s="19">
        <f>_xlfn.XLOOKUP(C33,'Price &amp; Other Market Data'!F:F,'Price &amp; Other Market Data'!H:H)</f>
        <v>33.79</v>
      </c>
      <c r="H33" s="19">
        <f t="shared" si="2"/>
        <v>27437.48</v>
      </c>
      <c r="I33" s="21">
        <f t="shared" si="3"/>
        <v>2.5003120141067229E-3</v>
      </c>
      <c r="J33" t="s">
        <v>433</v>
      </c>
      <c r="K33" s="22">
        <f>_xlfn.XLOOKUP(C33,'Price &amp; Other Market Data'!$F:$F,'Price &amp; Other Market Data'!J:J)</f>
        <v>1.3299999999999999E-2</v>
      </c>
      <c r="L33" s="19">
        <f>_xlfn.XLOOKUP(C33,'Price &amp; Other Market Data'!$F:$F,'Price &amp; Other Market Data'!K:K)</f>
        <v>58.42</v>
      </c>
      <c r="M33" s="19">
        <f>_xlfn.XLOOKUP(C33,'Price &amp; Other Market Data'!$F:$F,'Price &amp; Other Market Data'!L:L)</f>
        <v>29.75</v>
      </c>
    </row>
    <row r="34" spans="1:13" x14ac:dyDescent="0.3">
      <c r="A34" t="str">
        <f t="shared" si="0"/>
        <v>MA US Equity</v>
      </c>
      <c r="B34" t="s">
        <v>221</v>
      </c>
      <c r="C34" t="str">
        <f t="shared" si="1"/>
        <v>MA</v>
      </c>
      <c r="D34" t="str">
        <f>_xlfn.XLOOKUP(C34,'Price &amp; Other Market Data'!F:F,'Price &amp; Other Market Data'!I:I)</f>
        <v>Mastercard Inc</v>
      </c>
      <c r="E34" s="13">
        <f>+'Price &amp; Other Market Data'!$B$3</f>
        <v>46120</v>
      </c>
      <c r="F34">
        <f>_xlfn.XLOOKUP(B34,'LH_Holding_Custody T'!G:G,'LH_Holding_Custody T'!J:J)</f>
        <v>51</v>
      </c>
      <c r="G34" s="19">
        <f>_xlfn.XLOOKUP(C34,'Price &amp; Other Market Data'!F:F,'Price &amp; Other Market Data'!H:H)</f>
        <v>507.12</v>
      </c>
      <c r="H34" s="19">
        <f t="shared" si="2"/>
        <v>25863.119999999999</v>
      </c>
      <c r="I34" s="21">
        <f t="shared" si="3"/>
        <v>2.3568443478877749E-3</v>
      </c>
      <c r="J34" t="s">
        <v>315</v>
      </c>
      <c r="K34" s="22">
        <f>_xlfn.XLOOKUP(C34,'Price &amp; Other Market Data'!$F:$F,'Price &amp; Other Market Data'!J:J)</f>
        <v>-5.3E-3</v>
      </c>
      <c r="L34" s="19">
        <f>_xlfn.XLOOKUP(C34,'Price &amp; Other Market Data'!$F:$F,'Price &amp; Other Market Data'!K:K)</f>
        <v>601.77</v>
      </c>
      <c r="M34" s="19">
        <f>_xlfn.XLOOKUP(C34,'Price &amp; Other Market Data'!$F:$F,'Price &amp; Other Market Data'!L:L)</f>
        <v>480.5</v>
      </c>
    </row>
    <row r="35" spans="1:13" x14ac:dyDescent="0.3">
      <c r="A35" t="str">
        <f t="shared" si="0"/>
        <v>SONO US Equity</v>
      </c>
      <c r="B35" t="s">
        <v>223</v>
      </c>
      <c r="C35" t="str">
        <f t="shared" si="1"/>
        <v>SONO</v>
      </c>
      <c r="D35" t="str">
        <f>_xlfn.XLOOKUP(C35,'Price &amp; Other Market Data'!F:F,'Price &amp; Other Market Data'!I:I)</f>
        <v>Sonos Inc</v>
      </c>
      <c r="E35" s="13">
        <f>+'Price &amp; Other Market Data'!$B$3</f>
        <v>46120</v>
      </c>
      <c r="F35">
        <f>_xlfn.XLOOKUP(B35,'LH_Holding_Custody T'!G:G,'LH_Holding_Custody T'!J:J)</f>
        <v>821</v>
      </c>
      <c r="G35" s="19">
        <f>_xlfn.XLOOKUP(C35,'Price &amp; Other Market Data'!F:F,'Price &amp; Other Market Data'!H:H)</f>
        <v>13.28</v>
      </c>
      <c r="H35" s="19">
        <f t="shared" si="2"/>
        <v>10902.88</v>
      </c>
      <c r="I35" s="21">
        <f t="shared" si="3"/>
        <v>9.9355341133237842E-4</v>
      </c>
      <c r="J35" t="s">
        <v>432</v>
      </c>
      <c r="K35" s="22">
        <f>_xlfn.XLOOKUP(C35,'Price &amp; Other Market Data'!$F:$F,'Price &amp; Other Market Data'!J:J)</f>
        <v>-1.8100000000000002E-2</v>
      </c>
      <c r="L35" s="19">
        <f>_xlfn.XLOOKUP(C35,'Price &amp; Other Market Data'!$F:$F,'Price &amp; Other Market Data'!K:K)</f>
        <v>19.82</v>
      </c>
      <c r="M35" s="19">
        <f>_xlfn.XLOOKUP(C35,'Price &amp; Other Market Data'!$F:$F,'Price &amp; Other Market Data'!L:L)</f>
        <v>7.63</v>
      </c>
    </row>
    <row r="36" spans="1:13" x14ac:dyDescent="0.3">
      <c r="A36" t="str">
        <f t="shared" si="0"/>
        <v>VMC US Equity</v>
      </c>
      <c r="B36" t="s">
        <v>225</v>
      </c>
      <c r="C36" t="str">
        <f t="shared" si="1"/>
        <v>VMC</v>
      </c>
      <c r="D36" t="str">
        <f>_xlfn.XLOOKUP(C36,'Price &amp; Other Market Data'!F:F,'Price &amp; Other Market Data'!I:I)</f>
        <v>Vulcan Materials Co</v>
      </c>
      <c r="E36" s="13">
        <f>+'Price &amp; Other Market Data'!$B$3</f>
        <v>46120</v>
      </c>
      <c r="F36">
        <f>_xlfn.XLOOKUP(B36,'LH_Holding_Custody T'!G:G,'LH_Holding_Custody T'!J:J)</f>
        <v>570</v>
      </c>
      <c r="G36" s="19">
        <f>_xlfn.XLOOKUP(C36,'Price &amp; Other Market Data'!F:F,'Price &amp; Other Market Data'!H:H)</f>
        <v>292.58</v>
      </c>
      <c r="H36" s="19">
        <f t="shared" si="2"/>
        <v>166770.59999999998</v>
      </c>
      <c r="I36" s="21">
        <f t="shared" si="3"/>
        <v>1.5197406422885286E-2</v>
      </c>
      <c r="J36" t="s">
        <v>433</v>
      </c>
      <c r="K36" s="22">
        <f>_xlfn.XLOOKUP(C36,'Price &amp; Other Market Data'!$F:$F,'Price &amp; Other Market Data'!J:J)</f>
        <v>1.5E-3</v>
      </c>
      <c r="L36" s="19">
        <f>_xlfn.XLOOKUP(C36,'Price &amp; Other Market Data'!$F:$F,'Price &amp; Other Market Data'!K:K)</f>
        <v>331.09</v>
      </c>
      <c r="M36" s="19">
        <f>_xlfn.XLOOKUP(C36,'Price &amp; Other Market Data'!$F:$F,'Price &amp; Other Market Data'!L:L)</f>
        <v>229.3</v>
      </c>
    </row>
    <row r="37" spans="1:13" x14ac:dyDescent="0.3">
      <c r="A37" t="str">
        <f t="shared" si="0"/>
        <v>CAT US Equity</v>
      </c>
      <c r="B37" t="s">
        <v>227</v>
      </c>
      <c r="C37" t="str">
        <f t="shared" si="1"/>
        <v>CAT</v>
      </c>
      <c r="D37" t="str">
        <f>_xlfn.XLOOKUP(C37,'Price &amp; Other Market Data'!F:F,'Price &amp; Other Market Data'!I:I)</f>
        <v>Caterpillar Inc</v>
      </c>
      <c r="E37" s="13">
        <f>+'Price &amp; Other Market Data'!$B$3</f>
        <v>46120</v>
      </c>
      <c r="F37">
        <f>_xlfn.XLOOKUP(B37,'LH_Holding_Custody T'!G:G,'LH_Holding_Custody T'!J:J)</f>
        <v>145</v>
      </c>
      <c r="G37" s="19">
        <f>_xlfn.XLOOKUP(C37,'Price &amp; Other Market Data'!F:F,'Price &amp; Other Market Data'!H:H)</f>
        <v>771.58</v>
      </c>
      <c r="H37" s="19">
        <f t="shared" si="2"/>
        <v>111879.1</v>
      </c>
      <c r="I37" s="21">
        <f t="shared" si="3"/>
        <v>1.0195275143979967E-2</v>
      </c>
      <c r="J37" t="s">
        <v>315</v>
      </c>
      <c r="K37" s="22">
        <f>_xlfn.XLOOKUP(C37,'Price &amp; Other Market Data'!$F:$F,'Price &amp; Other Market Data'!J:J)</f>
        <v>2.01E-2</v>
      </c>
      <c r="L37" s="19">
        <f>_xlfn.XLOOKUP(C37,'Price &amp; Other Market Data'!$F:$F,'Price &amp; Other Market Data'!K:K)</f>
        <v>795.52</v>
      </c>
      <c r="M37" s="19">
        <f>_xlfn.XLOOKUP(C37,'Price &amp; Other Market Data'!$F:$F,'Price &amp; Other Market Data'!L:L)</f>
        <v>279.8</v>
      </c>
    </row>
    <row r="38" spans="1:13" x14ac:dyDescent="0.3">
      <c r="A38" t="str">
        <f t="shared" si="0"/>
        <v>ASML US Equity</v>
      </c>
      <c r="B38" t="s">
        <v>229</v>
      </c>
      <c r="C38" t="str">
        <f t="shared" si="1"/>
        <v>ASML</v>
      </c>
      <c r="D38" t="str">
        <f>_xlfn.XLOOKUP(C38,'Price &amp; Other Market Data'!F:F,'Price &amp; Other Market Data'!I:I)</f>
        <v>ASML Holding NV</v>
      </c>
      <c r="E38" s="13">
        <f>+'Price &amp; Other Market Data'!$B$3</f>
        <v>46120</v>
      </c>
      <c r="F38">
        <f>_xlfn.XLOOKUP(B38,'LH_Holding_Custody T'!G:G,'LH_Holding_Custody T'!J:J)</f>
        <v>22</v>
      </c>
      <c r="G38" s="19">
        <f>_xlfn.XLOOKUP(C38,'Price &amp; Other Market Data'!F:F,'Price &amp; Other Market Data'!H:H)</f>
        <v>1421.05</v>
      </c>
      <c r="H38" s="19">
        <f t="shared" si="2"/>
        <v>31263.1</v>
      </c>
      <c r="I38" s="21">
        <f t="shared" si="3"/>
        <v>2.8489316266734365E-3</v>
      </c>
      <c r="J38" t="s">
        <v>432</v>
      </c>
      <c r="K38" s="22">
        <f>_xlfn.XLOOKUP(C38,'Price &amp; Other Market Data'!$F:$F,'Price &amp; Other Market Data'!J:J)</f>
        <v>1.9400000000000001E-2</v>
      </c>
      <c r="L38" s="19">
        <f>_xlfn.XLOOKUP(C38,'Price &amp; Other Market Data'!$F:$F,'Price &amp; Other Market Data'!K:K)</f>
        <v>1547.22</v>
      </c>
      <c r="M38" s="19">
        <f>_xlfn.XLOOKUP(C38,'Price &amp; Other Market Data'!$F:$F,'Price &amp; Other Market Data'!L:L)</f>
        <v>614.05999999999995</v>
      </c>
    </row>
    <row r="39" spans="1:13" x14ac:dyDescent="0.3">
      <c r="A39" t="str">
        <f t="shared" si="0"/>
        <v>NFG US Equity</v>
      </c>
      <c r="B39" t="s">
        <v>231</v>
      </c>
      <c r="C39" t="str">
        <f t="shared" si="1"/>
        <v>NFG</v>
      </c>
      <c r="D39" t="str">
        <f>_xlfn.XLOOKUP(C39,'Price &amp; Other Market Data'!F:F,'Price &amp; Other Market Data'!I:I)</f>
        <v>National Fuel Gas Co</v>
      </c>
      <c r="E39" s="13">
        <f>+'Price &amp; Other Market Data'!$B$3</f>
        <v>46120</v>
      </c>
      <c r="F39">
        <f>_xlfn.XLOOKUP(B39,'LH_Holding_Custody T'!G:G,'LH_Holding_Custody T'!J:J)</f>
        <v>262</v>
      </c>
      <c r="G39" s="19">
        <f>_xlfn.XLOOKUP(C39,'Price &amp; Other Market Data'!F:F,'Price &amp; Other Market Data'!H:H)</f>
        <v>95.58</v>
      </c>
      <c r="H39" s="19">
        <f t="shared" si="2"/>
        <v>25041.96</v>
      </c>
      <c r="I39" s="21">
        <f t="shared" si="3"/>
        <v>2.2820139985443265E-3</v>
      </c>
      <c r="J39" t="s">
        <v>433</v>
      </c>
      <c r="K39" s="22">
        <f>_xlfn.XLOOKUP(C39,'Price &amp; Other Market Data'!$F:$F,'Price &amp; Other Market Data'!J:J)</f>
        <v>-5.7999999999999996E-3</v>
      </c>
      <c r="L39" s="19">
        <f>_xlfn.XLOOKUP(C39,'Price &amp; Other Market Data'!$F:$F,'Price &amp; Other Market Data'!K:K)</f>
        <v>97.06</v>
      </c>
      <c r="M39" s="19">
        <f>_xlfn.XLOOKUP(C39,'Price &amp; Other Market Data'!$F:$F,'Price &amp; Other Market Data'!L:L)</f>
        <v>72.47</v>
      </c>
    </row>
    <row r="40" spans="1:13" x14ac:dyDescent="0.3">
      <c r="A40" t="str">
        <f t="shared" si="0"/>
        <v>AVGO US Equity</v>
      </c>
      <c r="B40" t="s">
        <v>233</v>
      </c>
      <c r="C40" t="str">
        <f t="shared" si="1"/>
        <v>AVGO</v>
      </c>
      <c r="D40" t="str">
        <f>_xlfn.XLOOKUP(C40,'Price &amp; Other Market Data'!F:F,'Price &amp; Other Market Data'!I:I)</f>
        <v>Broadcom Inc</v>
      </c>
      <c r="E40" s="13">
        <f>+'Price &amp; Other Market Data'!$B$3</f>
        <v>46120</v>
      </c>
      <c r="F40">
        <f>_xlfn.XLOOKUP(B40,'LH_Holding_Custody T'!G:G,'LH_Holding_Custody T'!J:J)</f>
        <v>545</v>
      </c>
      <c r="G40" s="19">
        <f>_xlfn.XLOOKUP(C40,'Price &amp; Other Market Data'!F:F,'Price &amp; Other Market Data'!H:H)</f>
        <v>350.63</v>
      </c>
      <c r="H40" s="19">
        <f t="shared" si="2"/>
        <v>191093.35</v>
      </c>
      <c r="I40" s="21">
        <f t="shared" si="3"/>
        <v>1.7413880532064205E-2</v>
      </c>
      <c r="J40" t="s">
        <v>315</v>
      </c>
      <c r="K40" s="22">
        <f>_xlfn.XLOOKUP(C40,'Price &amp; Other Market Data'!$F:$F,'Price &amp; Other Market Data'!J:J)</f>
        <v>1.2200000000000001E-2</v>
      </c>
      <c r="L40" s="19">
        <f>_xlfn.XLOOKUP(C40,'Price &amp; Other Market Data'!$F:$F,'Price &amp; Other Market Data'!K:K)</f>
        <v>414.61</v>
      </c>
      <c r="M40" s="19">
        <f>_xlfn.XLOOKUP(C40,'Price &amp; Other Market Data'!$F:$F,'Price &amp; Other Market Data'!L:L)</f>
        <v>161.62</v>
      </c>
    </row>
    <row r="41" spans="1:13" x14ac:dyDescent="0.3">
      <c r="A41" t="str">
        <f t="shared" si="0"/>
        <v>LIN US Equity</v>
      </c>
      <c r="B41" t="s">
        <v>235</v>
      </c>
      <c r="C41" t="str">
        <f t="shared" si="1"/>
        <v>LIN</v>
      </c>
      <c r="D41" t="str">
        <f>_xlfn.XLOOKUP(C41,'Price &amp; Other Market Data'!F:F,'Price &amp; Other Market Data'!I:I)</f>
        <v>Linde PLC</v>
      </c>
      <c r="E41" s="13">
        <f>+'Price &amp; Other Market Data'!$B$3</f>
        <v>46120</v>
      </c>
      <c r="F41">
        <f>_xlfn.XLOOKUP(B41,'LH_Holding_Custody T'!G:G,'LH_Holding_Custody T'!J:J)</f>
        <v>100</v>
      </c>
      <c r="G41" s="19">
        <f>_xlfn.XLOOKUP(C41,'Price &amp; Other Market Data'!F:F,'Price &amp; Other Market Data'!H:H)</f>
        <v>500.48</v>
      </c>
      <c r="H41" s="19">
        <f t="shared" si="2"/>
        <v>50048</v>
      </c>
      <c r="I41" s="21">
        <f t="shared" si="3"/>
        <v>4.5607546932886428E-3</v>
      </c>
      <c r="J41" t="s">
        <v>432</v>
      </c>
      <c r="K41" s="22">
        <f>_xlfn.XLOOKUP(C41,'Price &amp; Other Market Data'!$F:$F,'Price &amp; Other Market Data'!J:J)</f>
        <v>5.5999999999999999E-3</v>
      </c>
      <c r="L41" s="19">
        <f>_xlfn.XLOOKUP(C41,'Price &amp; Other Market Data'!$F:$F,'Price &amp; Other Market Data'!K:K)</f>
        <v>510.65</v>
      </c>
      <c r="M41" s="19">
        <f>_xlfn.XLOOKUP(C41,'Price &amp; Other Market Data'!$F:$F,'Price &amp; Other Market Data'!L:L)</f>
        <v>387.78</v>
      </c>
    </row>
    <row r="42" spans="1:13" x14ac:dyDescent="0.3">
      <c r="A42" t="str">
        <f t="shared" si="0"/>
        <v>XLV US Equity</v>
      </c>
      <c r="B42" t="s">
        <v>237</v>
      </c>
      <c r="C42" t="str">
        <f t="shared" si="1"/>
        <v>XLV</v>
      </c>
      <c r="D42" t="str">
        <f>_xlfn.XLOOKUP(C42,'Price &amp; Other Market Data'!F:F,'Price &amp; Other Market Data'!I:I)</f>
        <v>State Street Health Care Select Sector SPDR ETF</v>
      </c>
      <c r="E42" s="13">
        <f>+'Price &amp; Other Market Data'!$B$3</f>
        <v>46120</v>
      </c>
      <c r="F42">
        <f>_xlfn.XLOOKUP(B42,'LH_Holding_Custody T'!G:G,'LH_Holding_Custody T'!J:J)</f>
        <v>493</v>
      </c>
      <c r="G42" s="19">
        <f>_xlfn.XLOOKUP(C42,'Price &amp; Other Market Data'!F:F,'Price &amp; Other Market Data'!H:H)</f>
        <v>149.66999999999999</v>
      </c>
      <c r="H42" s="19">
        <f t="shared" si="2"/>
        <v>73787.31</v>
      </c>
      <c r="I42" s="21">
        <f t="shared" si="3"/>
        <v>6.724061308896339E-3</v>
      </c>
      <c r="J42" t="s">
        <v>433</v>
      </c>
      <c r="K42" s="22">
        <f>_xlfn.XLOOKUP(C42,'Price &amp; Other Market Data'!$F:$F,'Price &amp; Other Market Data'!J:J)</f>
        <v>-2.3E-3</v>
      </c>
      <c r="L42" s="19">
        <f>_xlfn.XLOOKUP(C42,'Price &amp; Other Market Data'!$F:$F,'Price &amp; Other Market Data'!K:K)</f>
        <v>160.59</v>
      </c>
      <c r="M42" s="19">
        <f>_xlfn.XLOOKUP(C42,'Price &amp; Other Market Data'!$F:$F,'Price &amp; Other Market Data'!L:L)</f>
        <v>127.35</v>
      </c>
    </row>
    <row r="43" spans="1:13" x14ac:dyDescent="0.3">
      <c r="A43" t="str">
        <f t="shared" si="0"/>
        <v>GOOG US Equity</v>
      </c>
      <c r="B43" t="s">
        <v>239</v>
      </c>
      <c r="C43" t="str">
        <f t="shared" si="1"/>
        <v>GOOG</v>
      </c>
      <c r="D43" t="str">
        <f>_xlfn.XLOOKUP(C43,'Price &amp; Other Market Data'!F:F,'Price &amp; Other Market Data'!I:I)</f>
        <v>Alphabet Inc Class C</v>
      </c>
      <c r="E43" s="13">
        <f>+'Price &amp; Other Market Data'!$B$3</f>
        <v>46120</v>
      </c>
      <c r="F43">
        <f>_xlfn.XLOOKUP(B43,'LH_Holding_Custody T'!G:G,'LH_Holding_Custody T'!J:J)</f>
        <v>689</v>
      </c>
      <c r="G43" s="19">
        <f>_xlfn.XLOOKUP(C43,'Price &amp; Other Market Data'!F:F,'Price &amp; Other Market Data'!H:H)</f>
        <v>314.74</v>
      </c>
      <c r="H43" s="19">
        <f t="shared" si="2"/>
        <v>216855.86000000002</v>
      </c>
      <c r="I43" s="21">
        <f t="shared" si="3"/>
        <v>1.9761556530973164E-2</v>
      </c>
      <c r="J43" t="s">
        <v>315</v>
      </c>
      <c r="K43" s="22">
        <f>_xlfn.XLOOKUP(C43,'Price &amp; Other Market Data'!$F:$F,'Price &amp; Other Market Data'!J:J)</f>
        <v>5.1999999999999998E-3</v>
      </c>
      <c r="L43" s="19">
        <f>_xlfn.XLOOKUP(C43,'Price &amp; Other Market Data'!$F:$F,'Price &amp; Other Market Data'!K:K)</f>
        <v>350.15</v>
      </c>
      <c r="M43" s="19">
        <f>_xlfn.XLOOKUP(C43,'Price &amp; Other Market Data'!$F:$F,'Price &amp; Other Market Data'!L:L)</f>
        <v>148.4</v>
      </c>
    </row>
    <row r="44" spans="1:13" x14ac:dyDescent="0.3">
      <c r="A44" t="str">
        <f t="shared" si="0"/>
        <v>SOFI US Equity</v>
      </c>
      <c r="B44" t="s">
        <v>241</v>
      </c>
      <c r="C44" t="str">
        <f t="shared" si="1"/>
        <v>SOFI</v>
      </c>
      <c r="D44" t="str">
        <f>_xlfn.XLOOKUP(C44,'Price &amp; Other Market Data'!F:F,'Price &amp; Other Market Data'!I:I)</f>
        <v>SoFi Technologies Inc</v>
      </c>
      <c r="E44" s="13">
        <f>+'Price &amp; Other Market Data'!$B$3</f>
        <v>46120</v>
      </c>
      <c r="F44">
        <f>_xlfn.XLOOKUP(B44,'LH_Holding_Custody T'!G:G,'LH_Holding_Custody T'!J:J)</f>
        <v>6145</v>
      </c>
      <c r="G44" s="19">
        <f>_xlfn.XLOOKUP(C44,'Price &amp; Other Market Data'!F:F,'Price &amp; Other Market Data'!H:H)</f>
        <v>16.489999999999998</v>
      </c>
      <c r="H44" s="19">
        <f t="shared" si="2"/>
        <v>101331.04999999999</v>
      </c>
      <c r="I44" s="21">
        <f t="shared" si="3"/>
        <v>9.2340565429860546E-3</v>
      </c>
      <c r="J44" t="s">
        <v>432</v>
      </c>
      <c r="K44" s="22">
        <f>_xlfn.XLOOKUP(C44,'Price &amp; Other Market Data'!$F:$F,'Price &amp; Other Market Data'!J:J)</f>
        <v>-1.3299999999999999E-2</v>
      </c>
      <c r="L44" s="19">
        <f>_xlfn.XLOOKUP(C44,'Price &amp; Other Market Data'!$F:$F,'Price &amp; Other Market Data'!K:K)</f>
        <v>32.729999999999997</v>
      </c>
      <c r="M44" s="19">
        <f>_xlfn.XLOOKUP(C44,'Price &amp; Other Market Data'!$F:$F,'Price &amp; Other Market Data'!L:L)</f>
        <v>10.07</v>
      </c>
    </row>
    <row r="45" spans="1:13" x14ac:dyDescent="0.3">
      <c r="A45" t="str">
        <f t="shared" si="0"/>
        <v>XLY US Equity</v>
      </c>
      <c r="B45" t="s">
        <v>243</v>
      </c>
      <c r="C45" t="str">
        <f t="shared" si="1"/>
        <v>XLY</v>
      </c>
      <c r="D45" t="str">
        <f>_xlfn.XLOOKUP(C45,'Price &amp; Other Market Data'!F:F,'Price &amp; Other Market Data'!I:I)</f>
        <v>State Street Cons Disc Sel Sect SPDR Income ETF</v>
      </c>
      <c r="E45" s="13">
        <f>+'Price &amp; Other Market Data'!$B$3</f>
        <v>46120</v>
      </c>
      <c r="F45">
        <f>_xlfn.XLOOKUP(B45,'LH_Holding_Custody T'!G:G,'LH_Holding_Custody T'!J:J)</f>
        <v>-275</v>
      </c>
      <c r="G45" s="19">
        <f>_xlfn.XLOOKUP(C45,'Price &amp; Other Market Data'!F:F,'Price &amp; Other Market Data'!H:H)</f>
        <v>110.82</v>
      </c>
      <c r="H45" s="19">
        <f t="shared" si="2"/>
        <v>-30475.499999999996</v>
      </c>
      <c r="I45" s="21">
        <f t="shared" si="3"/>
        <v>-2.7771595199671917E-3</v>
      </c>
      <c r="J45" t="s">
        <v>315</v>
      </c>
      <c r="K45" s="22">
        <f>_xlfn.XLOOKUP(C45,'Price &amp; Other Market Data'!$F:$F,'Price &amp; Other Market Data'!J:J)</f>
        <v>1.7299999999999999E-2</v>
      </c>
      <c r="L45" s="19">
        <f>_xlfn.XLOOKUP(C45,'Price &amp; Other Market Data'!$F:$F,'Price &amp; Other Market Data'!K:K)</f>
        <v>125.01</v>
      </c>
      <c r="M45" s="19">
        <f>_xlfn.XLOOKUP(C45,'Price &amp; Other Market Data'!$F:$F,'Price &amp; Other Market Data'!L:L)</f>
        <v>87.95</v>
      </c>
    </row>
    <row r="46" spans="1:13" x14ac:dyDescent="0.3">
      <c r="A46" t="str">
        <f t="shared" si="0"/>
        <v>XLRE US Equity</v>
      </c>
      <c r="B46" t="s">
        <v>245</v>
      </c>
      <c r="C46" t="str">
        <f t="shared" si="1"/>
        <v>XLRE</v>
      </c>
      <c r="D46" t="str">
        <f>_xlfn.XLOOKUP(C46,'Price &amp; Other Market Data'!F:F,'Price &amp; Other Market Data'!I:I)</f>
        <v>State Street Real Estate Select Sector SPDR ETF</v>
      </c>
      <c r="E46" s="13">
        <f>+'Price &amp; Other Market Data'!$B$3</f>
        <v>46120</v>
      </c>
      <c r="F46">
        <f>_xlfn.XLOOKUP(B46,'LH_Holding_Custody T'!G:G,'LH_Holding_Custody T'!J:J)</f>
        <v>5134</v>
      </c>
      <c r="G46" s="19">
        <f>_xlfn.XLOOKUP(C46,'Price &amp; Other Market Data'!F:F,'Price &amp; Other Market Data'!H:H)</f>
        <v>42.44</v>
      </c>
      <c r="H46" s="19">
        <f t="shared" si="2"/>
        <v>217886.96</v>
      </c>
      <c r="I46" s="21">
        <f t="shared" si="3"/>
        <v>1.9855518211045291E-2</v>
      </c>
      <c r="J46" t="s">
        <v>432</v>
      </c>
      <c r="K46" s="22">
        <f>_xlfn.XLOOKUP(C46,'Price &amp; Other Market Data'!$F:$F,'Price &amp; Other Market Data'!J:J)</f>
        <v>6.7999999999999996E-3</v>
      </c>
      <c r="L46" s="19">
        <f>_xlfn.XLOOKUP(C46,'Price &amp; Other Market Data'!$F:$F,'Price &amp; Other Market Data'!K:K)</f>
        <v>44.07</v>
      </c>
      <c r="M46" s="19">
        <f>_xlfn.XLOOKUP(C46,'Price &amp; Other Market Data'!$F:$F,'Price &amp; Other Market Data'!L:L)</f>
        <v>37.43</v>
      </c>
    </row>
    <row r="47" spans="1:13" x14ac:dyDescent="0.3">
      <c r="A47" t="str">
        <f t="shared" si="0"/>
        <v>DRVN US Equity</v>
      </c>
      <c r="B47" t="s">
        <v>247</v>
      </c>
      <c r="C47" t="str">
        <f t="shared" si="1"/>
        <v>DRVN</v>
      </c>
      <c r="D47" t="str">
        <f>_xlfn.XLOOKUP(C47,'Price &amp; Other Market Data'!F:F,'Price &amp; Other Market Data'!I:I)</f>
        <v>Driven Brands Holdings Inc</v>
      </c>
      <c r="E47" s="13">
        <f>+'Price &amp; Other Market Data'!$B$3</f>
        <v>46120</v>
      </c>
      <c r="F47">
        <f>_xlfn.XLOOKUP(B47,'LH_Holding_Custody T'!G:G,'LH_Holding_Custody T'!J:J)</f>
        <v>-956</v>
      </c>
      <c r="G47" s="19">
        <f>_xlfn.XLOOKUP(C47,'Price &amp; Other Market Data'!F:F,'Price &amp; Other Market Data'!H:H)</f>
        <v>12.53</v>
      </c>
      <c r="H47" s="19">
        <f t="shared" si="2"/>
        <v>-11978.68</v>
      </c>
      <c r="I47" s="21">
        <f t="shared" si="3"/>
        <v>-1.0915884956322491E-3</v>
      </c>
      <c r="J47" t="s">
        <v>433</v>
      </c>
      <c r="K47" s="22">
        <f>_xlfn.XLOOKUP(C47,'Price &amp; Other Market Data'!$F:$F,'Price &amp; Other Market Data'!J:J)</f>
        <v>1.04E-2</v>
      </c>
      <c r="L47" s="19">
        <f>_xlfn.XLOOKUP(C47,'Price &amp; Other Market Data'!$F:$F,'Price &amp; Other Market Data'!K:K)</f>
        <v>19.739999999999998</v>
      </c>
      <c r="M47" s="19">
        <f>_xlfn.XLOOKUP(C47,'Price &amp; Other Market Data'!$F:$F,'Price &amp; Other Market Data'!L:L)</f>
        <v>9.8000000000000007</v>
      </c>
    </row>
    <row r="48" spans="1:13" x14ac:dyDescent="0.3">
      <c r="A48" t="str">
        <f t="shared" si="0"/>
        <v>GEV US Equity</v>
      </c>
      <c r="B48" t="s">
        <v>249</v>
      </c>
      <c r="C48" t="str">
        <f t="shared" si="1"/>
        <v>GEV</v>
      </c>
      <c r="D48" t="str">
        <f>_xlfn.XLOOKUP(C48,'Price &amp; Other Market Data'!F:F,'Price &amp; Other Market Data'!I:I)</f>
        <v>GE Vernova Inc</v>
      </c>
      <c r="E48" s="13">
        <f>+'Price &amp; Other Market Data'!$B$3</f>
        <v>46120</v>
      </c>
      <c r="F48">
        <f>_xlfn.XLOOKUP(B48,'LH_Holding_Custody T'!G:G,'LH_Holding_Custody T'!J:J)</f>
        <v>123</v>
      </c>
      <c r="G48" s="19">
        <f>_xlfn.XLOOKUP(C48,'Price &amp; Other Market Data'!F:F,'Price &amp; Other Market Data'!H:H)</f>
        <v>936.07</v>
      </c>
      <c r="H48" s="19">
        <f t="shared" si="2"/>
        <v>115136.61</v>
      </c>
      <c r="I48" s="21">
        <f t="shared" si="3"/>
        <v>1.0492124249257594E-2</v>
      </c>
      <c r="J48" t="s">
        <v>315</v>
      </c>
      <c r="K48" s="22">
        <f>_xlfn.XLOOKUP(C48,'Price &amp; Other Market Data'!$F:$F,'Price &amp; Other Market Data'!J:J)</f>
        <v>3.4099999999999998E-2</v>
      </c>
      <c r="L48" s="19">
        <f>_xlfn.XLOOKUP(C48,'Price &amp; Other Market Data'!$F:$F,'Price &amp; Other Market Data'!K:K)</f>
        <v>979.43</v>
      </c>
      <c r="M48" s="19">
        <f>_xlfn.XLOOKUP(C48,'Price &amp; Other Market Data'!$F:$F,'Price &amp; Other Market Data'!L:L)</f>
        <v>303.10000000000002</v>
      </c>
    </row>
    <row r="49" spans="1:13" x14ac:dyDescent="0.3">
      <c r="A49" t="str">
        <f t="shared" si="0"/>
        <v>LULU US Equity</v>
      </c>
      <c r="B49" t="s">
        <v>251</v>
      </c>
      <c r="C49" t="str">
        <f t="shared" si="1"/>
        <v>LULU</v>
      </c>
      <c r="D49" t="str">
        <f>_xlfn.XLOOKUP(C49,'Price &amp; Other Market Data'!F:F,'Price &amp; Other Market Data'!I:I)</f>
        <v>Lululemon Athletica Inc</v>
      </c>
      <c r="E49" s="13">
        <f>+'Price &amp; Other Market Data'!$B$3</f>
        <v>46120</v>
      </c>
      <c r="F49">
        <f>_xlfn.XLOOKUP(B49,'LH_Holding_Custody T'!G:G,'LH_Holding_Custody T'!J:J)</f>
        <v>81</v>
      </c>
      <c r="G49" s="19">
        <f>_xlfn.XLOOKUP(C49,'Price &amp; Other Market Data'!F:F,'Price &amp; Other Market Data'!H:H)</f>
        <v>158.86000000000001</v>
      </c>
      <c r="H49" s="19">
        <f t="shared" si="2"/>
        <v>12867.660000000002</v>
      </c>
      <c r="I49" s="21">
        <f t="shared" si="3"/>
        <v>1.1725991195780559E-3</v>
      </c>
      <c r="J49" t="s">
        <v>432</v>
      </c>
      <c r="K49" s="22">
        <f>_xlfn.XLOOKUP(C49,'Price &amp; Other Market Data'!$F:$F,'Price &amp; Other Market Data'!J:J)</f>
        <v>4.82E-2</v>
      </c>
      <c r="L49" s="19">
        <f>_xlfn.XLOOKUP(C49,'Price &amp; Other Market Data'!$F:$F,'Price &amp; Other Market Data'!K:K)</f>
        <v>340.25</v>
      </c>
      <c r="M49" s="19">
        <f>_xlfn.XLOOKUP(C49,'Price &amp; Other Market Data'!$F:$F,'Price &amp; Other Market Data'!L:L)</f>
        <v>143.96</v>
      </c>
    </row>
    <row r="50" spans="1:13" x14ac:dyDescent="0.3">
      <c r="A50" t="str">
        <f t="shared" si="0"/>
        <v>GPOR US Equity</v>
      </c>
      <c r="B50" t="s">
        <v>253</v>
      </c>
      <c r="C50" t="str">
        <f t="shared" si="1"/>
        <v>GPOR</v>
      </c>
      <c r="D50" t="str">
        <f>_xlfn.XLOOKUP(C50,'Price &amp; Other Market Data'!F:F,'Price &amp; Other Market Data'!I:I)</f>
        <v>Gulfport Energy Corp</v>
      </c>
      <c r="E50" s="13">
        <f>+'Price &amp; Other Market Data'!$B$3</f>
        <v>46120</v>
      </c>
      <c r="F50">
        <f>_xlfn.XLOOKUP(B50,'LH_Holding_Custody T'!G:G,'LH_Holding_Custody T'!J:J)</f>
        <v>74</v>
      </c>
      <c r="G50" s="19">
        <f>_xlfn.XLOOKUP(C50,'Price &amp; Other Market Data'!F:F,'Price &amp; Other Market Data'!H:H)</f>
        <v>202.29</v>
      </c>
      <c r="H50" s="19">
        <f t="shared" si="2"/>
        <v>14969.46</v>
      </c>
      <c r="I50" s="21">
        <f t="shared" si="3"/>
        <v>1.3641311331321251E-3</v>
      </c>
      <c r="J50" t="s">
        <v>433</v>
      </c>
      <c r="K50" s="22">
        <f>_xlfn.XLOOKUP(C50,'Price &amp; Other Market Data'!$F:$F,'Price &amp; Other Market Data'!J:J)</f>
        <v>5.1000000000000004E-3</v>
      </c>
      <c r="L50" s="19">
        <f>_xlfn.XLOOKUP(C50,'Price &amp; Other Market Data'!$F:$F,'Price &amp; Other Market Data'!K:K)</f>
        <v>225.78</v>
      </c>
      <c r="M50" s="19">
        <f>_xlfn.XLOOKUP(C50,'Price &amp; Other Market Data'!$F:$F,'Price &amp; Other Market Data'!L:L)</f>
        <v>156.94</v>
      </c>
    </row>
    <row r="51" spans="1:13" x14ac:dyDescent="0.3">
      <c r="A51" t="str">
        <f t="shared" si="0"/>
        <v>GPGI US Equity</v>
      </c>
      <c r="B51" t="s">
        <v>255</v>
      </c>
      <c r="C51" t="str">
        <f t="shared" si="1"/>
        <v>GPGI</v>
      </c>
      <c r="D51" t="str">
        <f>_xlfn.XLOOKUP(C51,'Price &amp; Other Market Data'!F:F,'Price &amp; Other Market Data'!I:I)</f>
        <v>GPGI Inc</v>
      </c>
      <c r="E51" s="13">
        <f>+'Price &amp; Other Market Data'!$B$3</f>
        <v>46120</v>
      </c>
      <c r="F51">
        <f>_xlfn.XLOOKUP(B51,'LH_Holding_Custody T'!G:G,'LH_Holding_Custody T'!J:J)</f>
        <v>2070</v>
      </c>
      <c r="G51" s="19">
        <f>_xlfn.XLOOKUP(C51,'Price &amp; Other Market Data'!F:F,'Price &amp; Other Market Data'!H:H)</f>
        <v>16.88</v>
      </c>
      <c r="H51" s="19">
        <f t="shared" si="2"/>
        <v>34941.599999999999</v>
      </c>
      <c r="I51" s="21">
        <f t="shared" si="3"/>
        <v>3.1841445450570337E-3</v>
      </c>
      <c r="J51" t="s">
        <v>315</v>
      </c>
      <c r="K51" s="22">
        <f>_xlfn.XLOOKUP(C51,'Price &amp; Other Market Data'!$F:$F,'Price &amp; Other Market Data'!J:J)</f>
        <v>-2.9000000000000001E-2</v>
      </c>
      <c r="L51" s="19">
        <f>_xlfn.XLOOKUP(C51,'Price &amp; Other Market Data'!$F:$F,'Price &amp; Other Market Data'!K:K)</f>
        <v>25.93</v>
      </c>
      <c r="M51" s="19">
        <f>_xlfn.XLOOKUP(C51,'Price &amp; Other Market Data'!$F:$F,'Price &amp; Other Market Data'!L:L)</f>
        <v>15.48</v>
      </c>
    </row>
    <row r="52" spans="1:13" x14ac:dyDescent="0.3">
      <c r="A52" t="str">
        <f t="shared" si="0"/>
        <v>OEF US Equity</v>
      </c>
      <c r="B52" t="s">
        <v>257</v>
      </c>
      <c r="C52" t="str">
        <f t="shared" si="1"/>
        <v>OEF</v>
      </c>
      <c r="D52" t="str">
        <f>_xlfn.XLOOKUP(C52,'Price &amp; Other Market Data'!F:F,'Price &amp; Other Market Data'!I:I)</f>
        <v>iShares S&amp;P 100 ETF</v>
      </c>
      <c r="E52" s="13">
        <f>+'Price &amp; Other Market Data'!$B$3</f>
        <v>46120</v>
      </c>
      <c r="F52">
        <f>_xlfn.XLOOKUP(B52,'LH_Holding_Custody T'!G:G,'LH_Holding_Custody T'!J:J)</f>
        <v>2303</v>
      </c>
      <c r="G52" s="19">
        <f>_xlfn.XLOOKUP(C52,'Price &amp; Other Market Data'!F:F,'Price &amp; Other Market Data'!H:H)</f>
        <v>330.15</v>
      </c>
      <c r="H52" s="19">
        <f t="shared" si="2"/>
        <v>760335.45</v>
      </c>
      <c r="I52" s="21">
        <f t="shared" si="3"/>
        <v>6.9287553389970266E-2</v>
      </c>
      <c r="J52" t="s">
        <v>432</v>
      </c>
      <c r="K52" s="22">
        <f>_xlfn.XLOOKUP(C52,'Price &amp; Other Market Data'!$F:$F,'Price &amp; Other Market Data'!J:J)</f>
        <v>8.0999999999999996E-3</v>
      </c>
      <c r="L52" s="19">
        <f>_xlfn.XLOOKUP(C52,'Price &amp; Other Market Data'!$F:$F,'Price &amp; Other Market Data'!K:K)</f>
        <v>349.08</v>
      </c>
      <c r="M52" s="19">
        <f>_xlfn.XLOOKUP(C52,'Price &amp; Other Market Data'!$F:$F,'Price &amp; Other Market Data'!L:L)</f>
        <v>245.57</v>
      </c>
    </row>
    <row r="53" spans="1:13" x14ac:dyDescent="0.3">
      <c r="A53" t="str">
        <f t="shared" si="0"/>
        <v>HCA US Equity</v>
      </c>
      <c r="B53" t="s">
        <v>259</v>
      </c>
      <c r="C53" t="str">
        <f t="shared" si="1"/>
        <v>HCA</v>
      </c>
      <c r="D53" t="str">
        <f>_xlfn.XLOOKUP(C53,'Price &amp; Other Market Data'!F:F,'Price &amp; Other Market Data'!I:I)</f>
        <v>HCA Healthcare Inc</v>
      </c>
      <c r="E53" s="13">
        <f>+'Price &amp; Other Market Data'!$B$3</f>
        <v>46120</v>
      </c>
      <c r="F53">
        <f>_xlfn.XLOOKUP(B53,'LH_Holding_Custody T'!G:G,'LH_Holding_Custody T'!J:J)</f>
        <v>269</v>
      </c>
      <c r="G53" s="19">
        <f>_xlfn.XLOOKUP(C53,'Price &amp; Other Market Data'!F:F,'Price &amp; Other Market Data'!H:H)</f>
        <v>505.12</v>
      </c>
      <c r="H53" s="19">
        <f t="shared" si="2"/>
        <v>135877.28</v>
      </c>
      <c r="I53" s="21">
        <f t="shared" si="3"/>
        <v>1.2382171964340133E-2</v>
      </c>
      <c r="J53" t="s">
        <v>433</v>
      </c>
      <c r="K53" s="22">
        <f>_xlfn.XLOOKUP(C53,'Price &amp; Other Market Data'!$F:$F,'Price &amp; Other Market Data'!J:J)</f>
        <v>4.1000000000000003E-3</v>
      </c>
      <c r="L53" s="19">
        <f>_xlfn.XLOOKUP(C53,'Price &amp; Other Market Data'!$F:$F,'Price &amp; Other Market Data'!K:K)</f>
        <v>556.52</v>
      </c>
      <c r="M53" s="19">
        <f>_xlfn.XLOOKUP(C53,'Price &amp; Other Market Data'!$F:$F,'Price &amp; Other Market Data'!L:L)</f>
        <v>314.43</v>
      </c>
    </row>
    <row r="54" spans="1:13" x14ac:dyDescent="0.3">
      <c r="A54" t="str">
        <f t="shared" si="0"/>
        <v>NEE US Equity</v>
      </c>
      <c r="B54" t="s">
        <v>261</v>
      </c>
      <c r="C54" t="str">
        <f t="shared" si="1"/>
        <v>NEE</v>
      </c>
      <c r="D54" t="str">
        <f>_xlfn.XLOOKUP(C54,'Price &amp; Other Market Data'!F:F,'Price &amp; Other Market Data'!I:I)</f>
        <v>NextEra Energy Inc</v>
      </c>
      <c r="E54" s="13">
        <f>+'Price &amp; Other Market Data'!$B$3</f>
        <v>46120</v>
      </c>
      <c r="F54">
        <f>_xlfn.XLOOKUP(B54,'LH_Holding_Custody T'!G:G,'LH_Holding_Custody T'!J:J)</f>
        <v>600</v>
      </c>
      <c r="G54" s="19">
        <f>_xlfn.XLOOKUP(C54,'Price &amp; Other Market Data'!F:F,'Price &amp; Other Market Data'!H:H)</f>
        <v>94.17</v>
      </c>
      <c r="H54" s="19">
        <f t="shared" si="2"/>
        <v>56502</v>
      </c>
      <c r="I54" s="21">
        <f t="shared" si="3"/>
        <v>5.1488922969987784E-3</v>
      </c>
      <c r="J54" t="s">
        <v>315</v>
      </c>
      <c r="K54" s="22">
        <f>_xlfn.XLOOKUP(C54,'Price &amp; Other Market Data'!$F:$F,'Price &amp; Other Market Data'!J:J)</f>
        <v>3.3E-3</v>
      </c>
      <c r="L54" s="19">
        <f>_xlfn.XLOOKUP(C54,'Price &amp; Other Market Data'!$F:$F,'Price &amp; Other Market Data'!K:K)</f>
        <v>96.21</v>
      </c>
      <c r="M54" s="19">
        <f>_xlfn.XLOOKUP(C54,'Price &amp; Other Market Data'!$F:$F,'Price &amp; Other Market Data'!L:L)</f>
        <v>63.64</v>
      </c>
    </row>
    <row r="55" spans="1:13" x14ac:dyDescent="0.3">
      <c r="A55" t="str">
        <f t="shared" si="0"/>
        <v>AEM CN Equity</v>
      </c>
      <c r="B55" t="s">
        <v>263</v>
      </c>
      <c r="C55" t="str">
        <f t="shared" si="1"/>
        <v>AEM</v>
      </c>
      <c r="D55" t="str">
        <f>_xlfn.XLOOKUP(C55,'Price &amp; Other Market Data'!F:F,'Price &amp; Other Market Data'!I:I)</f>
        <v>Agnico Eagle Mines Ltd</v>
      </c>
      <c r="E55" s="13">
        <f>+'Price &amp; Other Market Data'!$B$3</f>
        <v>46120</v>
      </c>
      <c r="F55">
        <f>_xlfn.XLOOKUP(B55,'LH_Holding_Custody T'!G:G,'LH_Holding_Custody T'!J:J)</f>
        <v>229</v>
      </c>
      <c r="G55" s="19">
        <f>_xlfn.XLOOKUP(C55,'Price &amp; Other Market Data'!F:F,'Price &amp; Other Market Data'!H:H)</f>
        <v>215.59</v>
      </c>
      <c r="H55" s="19">
        <f t="shared" si="2"/>
        <v>49370.11</v>
      </c>
      <c r="I55" s="21">
        <f t="shared" si="3"/>
        <v>4.4989801968245797E-3</v>
      </c>
      <c r="J55" t="s">
        <v>432</v>
      </c>
      <c r="K55" s="22">
        <f>_xlfn.XLOOKUP(C55,'Price &amp; Other Market Data'!$F:$F,'Price &amp; Other Market Data'!J:J)</f>
        <v>3.8E-3</v>
      </c>
      <c r="L55" s="19">
        <f>_xlfn.XLOOKUP(C55,'Price &amp; Other Market Data'!$F:$F,'Price &amp; Other Market Data'!K:K)</f>
        <v>255.24</v>
      </c>
      <c r="M55" s="19">
        <f>_xlfn.XLOOKUP(C55,'Price &amp; Other Market Data'!$F:$F,'Price &amp; Other Market Data'!L:L)</f>
        <v>103.38</v>
      </c>
    </row>
    <row r="56" spans="1:13" x14ac:dyDescent="0.3">
      <c r="A56" t="str">
        <f t="shared" si="0"/>
        <v>JPM US Equity</v>
      </c>
      <c r="B56" t="s">
        <v>266</v>
      </c>
      <c r="C56" t="str">
        <f t="shared" si="1"/>
        <v>JPM</v>
      </c>
      <c r="D56" t="str">
        <f>_xlfn.XLOOKUP(C56,'Price &amp; Other Market Data'!F:F,'Price &amp; Other Market Data'!I:I)</f>
        <v>JPMorgan Chase &amp; Co</v>
      </c>
      <c r="E56" s="13">
        <f>+'Price &amp; Other Market Data'!$B$3</f>
        <v>46120</v>
      </c>
      <c r="F56">
        <f>_xlfn.XLOOKUP(B56,'LH_Holding_Custody T'!G:G,'LH_Holding_Custody T'!J:J)</f>
        <v>133</v>
      </c>
      <c r="G56" s="19">
        <f>_xlfn.XLOOKUP(C56,'Price &amp; Other Market Data'!F:F,'Price &amp; Other Market Data'!H:H)</f>
        <v>307.97000000000003</v>
      </c>
      <c r="H56" s="19">
        <f t="shared" si="2"/>
        <v>40960.01</v>
      </c>
      <c r="I56" s="21">
        <f t="shared" si="3"/>
        <v>3.7325878725353607E-3</v>
      </c>
      <c r="J56" t="s">
        <v>433</v>
      </c>
      <c r="K56" s="22">
        <f>_xlfn.XLOOKUP(C56,'Price &amp; Other Market Data'!$F:$F,'Price &amp; Other Market Data'!J:J)</f>
        <v>7.7000000000000002E-3</v>
      </c>
      <c r="L56" s="19">
        <f>_xlfn.XLOOKUP(C56,'Price &amp; Other Market Data'!$F:$F,'Price &amp; Other Market Data'!K:K)</f>
        <v>337.25</v>
      </c>
      <c r="M56" s="19">
        <f>_xlfn.XLOOKUP(C56,'Price &amp; Other Market Data'!$F:$F,'Price &amp; Other Market Data'!L:L)</f>
        <v>220.1</v>
      </c>
    </row>
    <row r="57" spans="1:13" x14ac:dyDescent="0.3">
      <c r="A57" t="str">
        <f t="shared" si="0"/>
        <v>ENSG US Equity</v>
      </c>
      <c r="B57" t="s">
        <v>268</v>
      </c>
      <c r="C57" t="str">
        <f t="shared" si="1"/>
        <v>ENSG</v>
      </c>
      <c r="D57" t="str">
        <f>_xlfn.XLOOKUP(C57,'Price &amp; Other Market Data'!F:F,'Price &amp; Other Market Data'!I:I)</f>
        <v>Ensign Group Inc</v>
      </c>
      <c r="E57" s="13">
        <f>+'Price &amp; Other Market Data'!$B$3</f>
        <v>46120</v>
      </c>
      <c r="F57">
        <f>_xlfn.XLOOKUP(B57,'LH_Holding_Custody T'!G:G,'LH_Holding_Custody T'!J:J)</f>
        <v>1323</v>
      </c>
      <c r="G57" s="19">
        <f>_xlfn.XLOOKUP(C57,'Price &amp; Other Market Data'!F:F,'Price &amp; Other Market Data'!H:H)</f>
        <v>204.79</v>
      </c>
      <c r="H57" s="19">
        <f t="shared" si="2"/>
        <v>270937.17</v>
      </c>
      <c r="I57" s="21">
        <f t="shared" si="3"/>
        <v>2.468985713043164E-2</v>
      </c>
      <c r="J57" t="s">
        <v>315</v>
      </c>
      <c r="K57" s="22">
        <f>_xlfn.XLOOKUP(C57,'Price &amp; Other Market Data'!$F:$F,'Price &amp; Other Market Data'!J:J)</f>
        <v>-1.5800000000000002E-2</v>
      </c>
      <c r="L57" s="19">
        <f>_xlfn.XLOOKUP(C57,'Price &amp; Other Market Data'!$F:$F,'Price &amp; Other Market Data'!K:K)</f>
        <v>218</v>
      </c>
      <c r="M57" s="19">
        <f>_xlfn.XLOOKUP(C57,'Price &amp; Other Market Data'!$F:$F,'Price &amp; Other Market Data'!L:L)</f>
        <v>118.73</v>
      </c>
    </row>
    <row r="58" spans="1:13" x14ac:dyDescent="0.3">
      <c r="A58" t="str">
        <f t="shared" si="0"/>
        <v>TSLA US Equity</v>
      </c>
      <c r="B58" t="s">
        <v>270</v>
      </c>
      <c r="C58" t="str">
        <f t="shared" si="1"/>
        <v>TSLA</v>
      </c>
      <c r="D58" t="str">
        <f>_xlfn.XLOOKUP(C58,'Price &amp; Other Market Data'!F:F,'Price &amp; Other Market Data'!I:I)</f>
        <v>Tesla Inc</v>
      </c>
      <c r="E58" s="13">
        <f>+'Price &amp; Other Market Data'!$B$3</f>
        <v>46120</v>
      </c>
      <c r="F58">
        <f>_xlfn.XLOOKUP(B58,'LH_Holding_Custody T'!G:G,'LH_Holding_Custody T'!J:J)</f>
        <v>416</v>
      </c>
      <c r="G58" s="19">
        <f>_xlfn.XLOOKUP(C58,'Price &amp; Other Market Data'!F:F,'Price &amp; Other Market Data'!H:H)</f>
        <v>343.25</v>
      </c>
      <c r="H58" s="19">
        <f t="shared" si="2"/>
        <v>142792</v>
      </c>
      <c r="I58" s="21">
        <f t="shared" si="3"/>
        <v>1.3012293881155528E-2</v>
      </c>
      <c r="J58" t="s">
        <v>432</v>
      </c>
      <c r="K58" s="22">
        <f>_xlfn.XLOOKUP(C58,'Price &amp; Other Market Data'!$F:$F,'Price &amp; Other Market Data'!J:J)</f>
        <v>6.7999999999999996E-3</v>
      </c>
      <c r="L58" s="19">
        <f>_xlfn.XLOOKUP(C58,'Price &amp; Other Market Data'!$F:$F,'Price &amp; Other Market Data'!K:K)</f>
        <v>498.83</v>
      </c>
      <c r="M58" s="19">
        <f>_xlfn.XLOOKUP(C58,'Price &amp; Other Market Data'!$F:$F,'Price &amp; Other Market Data'!L:L)</f>
        <v>222.79</v>
      </c>
    </row>
    <row r="59" spans="1:13" x14ac:dyDescent="0.3">
      <c r="A59" t="str">
        <f t="shared" si="0"/>
        <v>REAL US Equity</v>
      </c>
      <c r="B59" t="s">
        <v>272</v>
      </c>
      <c r="C59" t="str">
        <f t="shared" si="1"/>
        <v>REAL</v>
      </c>
      <c r="D59" t="str">
        <f>_xlfn.XLOOKUP(C59,'Price &amp; Other Market Data'!F:F,'Price &amp; Other Market Data'!I:I)</f>
        <v>RealReal Inc</v>
      </c>
      <c r="E59" s="13">
        <f>+'Price &amp; Other Market Data'!$B$3</f>
        <v>46120</v>
      </c>
      <c r="F59">
        <f>_xlfn.XLOOKUP(B59,'LH_Holding_Custody T'!G:G,'LH_Holding_Custody T'!J:J)</f>
        <v>1762</v>
      </c>
      <c r="G59" s="19">
        <f>_xlfn.XLOOKUP(C59,'Price &amp; Other Market Data'!F:F,'Price &amp; Other Market Data'!H:H)</f>
        <v>10.16</v>
      </c>
      <c r="H59" s="19">
        <f t="shared" si="2"/>
        <v>17901.920000000002</v>
      </c>
      <c r="I59" s="21">
        <f t="shared" si="3"/>
        <v>1.6313592083375525E-3</v>
      </c>
      <c r="J59" t="s">
        <v>315</v>
      </c>
      <c r="K59" s="22">
        <f>_xlfn.XLOOKUP(C59,'Price &amp; Other Market Data'!$F:$F,'Price &amp; Other Market Data'!J:J)</f>
        <v>-4.6300000000000001E-2</v>
      </c>
      <c r="L59" s="19">
        <f>_xlfn.XLOOKUP(C59,'Price &amp; Other Market Data'!$F:$F,'Price &amp; Other Market Data'!K:K)</f>
        <v>17.39</v>
      </c>
      <c r="M59" s="19">
        <f>_xlfn.XLOOKUP(C59,'Price &amp; Other Market Data'!$F:$F,'Price &amp; Other Market Data'!L:L)</f>
        <v>4.7</v>
      </c>
    </row>
    <row r="60" spans="1:13" x14ac:dyDescent="0.3">
      <c r="A60" t="str">
        <f t="shared" si="0"/>
        <v>NVDA US Equity</v>
      </c>
      <c r="B60" t="s">
        <v>274</v>
      </c>
      <c r="C60" t="str">
        <f t="shared" si="1"/>
        <v>NVDA</v>
      </c>
      <c r="D60" t="str">
        <f>_xlfn.XLOOKUP(C60,'Price &amp; Other Market Data'!F:F,'Price &amp; Other Market Data'!I:I)</f>
        <v>NVIDIA Corp</v>
      </c>
      <c r="E60" s="13">
        <f>+'Price &amp; Other Market Data'!$B$3</f>
        <v>46120</v>
      </c>
      <c r="F60">
        <f>_xlfn.XLOOKUP(B60,'LH_Holding_Custody T'!G:G,'LH_Holding_Custody T'!J:J)</f>
        <v>3206</v>
      </c>
      <c r="G60" s="19">
        <f>_xlfn.XLOOKUP(C60,'Price &amp; Other Market Data'!F:F,'Price &amp; Other Market Data'!H:H)</f>
        <v>182.08</v>
      </c>
      <c r="H60" s="19">
        <f t="shared" si="2"/>
        <v>583748.4800000001</v>
      </c>
      <c r="I60" s="21">
        <f t="shared" si="3"/>
        <v>5.3195604616770135E-2</v>
      </c>
      <c r="J60" t="s">
        <v>432</v>
      </c>
      <c r="K60" s="22">
        <f>_xlfn.XLOOKUP(C60,'Price &amp; Other Market Data'!$F:$F,'Price &amp; Other Market Data'!J:J)</f>
        <v>1.0200000000000001E-2</v>
      </c>
      <c r="L60" s="19">
        <f>_xlfn.XLOOKUP(C60,'Price &amp; Other Market Data'!$F:$F,'Price &amp; Other Market Data'!K:K)</f>
        <v>212.19</v>
      </c>
      <c r="M60" s="19">
        <f>_xlfn.XLOOKUP(C60,'Price &amp; Other Market Data'!$F:$F,'Price &amp; Other Market Data'!L:L)</f>
        <v>95.04</v>
      </c>
    </row>
    <row r="61" spans="1:13" x14ac:dyDescent="0.3">
      <c r="A61" t="str">
        <f t="shared" si="0"/>
        <v>PM US Equity</v>
      </c>
      <c r="B61" t="s">
        <v>276</v>
      </c>
      <c r="C61" t="str">
        <f t="shared" si="1"/>
        <v>PM</v>
      </c>
      <c r="D61" t="str">
        <f>_xlfn.XLOOKUP(C61,'Price &amp; Other Market Data'!F:F,'Price &amp; Other Market Data'!I:I)</f>
        <v>Philip Morris International Inc.</v>
      </c>
      <c r="E61" s="13">
        <f>+'Price &amp; Other Market Data'!$B$3</f>
        <v>46120</v>
      </c>
      <c r="F61">
        <f>_xlfn.XLOOKUP(B61,'LH_Holding_Custody T'!G:G,'LH_Holding_Custody T'!J:J)</f>
        <v>398</v>
      </c>
      <c r="G61" s="19">
        <f>_xlfn.XLOOKUP(C61,'Price &amp; Other Market Data'!F:F,'Price &amp; Other Market Data'!H:H)</f>
        <v>160.94</v>
      </c>
      <c r="H61" s="19">
        <f t="shared" si="2"/>
        <v>64054.12</v>
      </c>
      <c r="I61" s="21">
        <f t="shared" si="3"/>
        <v>5.8370989532943156E-3</v>
      </c>
      <c r="J61" t="s">
        <v>433</v>
      </c>
      <c r="K61" s="22">
        <f>_xlfn.XLOOKUP(C61,'Price &amp; Other Market Data'!$F:$F,'Price &amp; Other Market Data'!J:J)</f>
        <v>1.9E-3</v>
      </c>
      <c r="L61" s="19">
        <f>_xlfn.XLOOKUP(C61,'Price &amp; Other Market Data'!$F:$F,'Price &amp; Other Market Data'!K:K)</f>
        <v>191.3</v>
      </c>
      <c r="M61" s="19">
        <f>_xlfn.XLOOKUP(C61,'Price &amp; Other Market Data'!$F:$F,'Price &amp; Other Market Data'!L:L)</f>
        <v>142.11000000000001</v>
      </c>
    </row>
    <row r="62" spans="1:13" x14ac:dyDescent="0.3">
      <c r="A62" t="str">
        <f t="shared" si="0"/>
        <v>Z US Equity</v>
      </c>
      <c r="B62" t="s">
        <v>278</v>
      </c>
      <c r="C62" t="str">
        <f t="shared" si="1"/>
        <v>Z</v>
      </c>
      <c r="D62" t="str">
        <f>_xlfn.XLOOKUP(C62,'Price &amp; Other Market Data'!F:F,'Price &amp; Other Market Data'!I:I)</f>
        <v>Zillow Group Inc Class C</v>
      </c>
      <c r="E62" s="13">
        <f>+'Price &amp; Other Market Data'!$B$3</f>
        <v>46120</v>
      </c>
      <c r="F62">
        <f>_xlfn.XLOOKUP(B62,'LH_Holding_Custody T'!G:G,'LH_Holding_Custody T'!J:J)</f>
        <v>2315</v>
      </c>
      <c r="G62" s="19">
        <f>_xlfn.XLOOKUP(C62,'Price &amp; Other Market Data'!F:F,'Price &amp; Other Market Data'!H:H)</f>
        <v>41.43</v>
      </c>
      <c r="H62" s="19">
        <f t="shared" si="2"/>
        <v>95910.45</v>
      </c>
      <c r="I62" s="21">
        <f t="shared" si="3"/>
        <v>8.7400902128541742E-3</v>
      </c>
      <c r="J62" t="s">
        <v>315</v>
      </c>
      <c r="K62" s="22">
        <f>_xlfn.XLOOKUP(C62,'Price &amp; Other Market Data'!$F:$F,'Price &amp; Other Market Data'!J:J)</f>
        <v>-1.9300000000000001E-2</v>
      </c>
      <c r="L62" s="19">
        <f>_xlfn.XLOOKUP(C62,'Price &amp; Other Market Data'!$F:$F,'Price &amp; Other Market Data'!K:K)</f>
        <v>93.88</v>
      </c>
      <c r="M62" s="19">
        <f>_xlfn.XLOOKUP(C62,'Price &amp; Other Market Data'!$F:$F,'Price &amp; Other Market Data'!L:L)</f>
        <v>39.049999999999997</v>
      </c>
    </row>
    <row r="63" spans="1:13" x14ac:dyDescent="0.3">
      <c r="A63" t="str">
        <f t="shared" si="0"/>
        <v>SOLS US Equity</v>
      </c>
      <c r="B63" t="s">
        <v>280</v>
      </c>
      <c r="C63" t="str">
        <f t="shared" si="1"/>
        <v>SOLS</v>
      </c>
      <c r="D63" t="str">
        <f>_xlfn.XLOOKUP(C63,'Price &amp; Other Market Data'!F:F,'Price &amp; Other Market Data'!I:I)</f>
        <v>Solstice Advanced Materials Inc</v>
      </c>
      <c r="E63" s="13">
        <f>+'Price &amp; Other Market Data'!$B$3</f>
        <v>46120</v>
      </c>
      <c r="F63">
        <f>_xlfn.XLOOKUP(B63,'LH_Holding_Custody T'!G:G,'LH_Holding_Custody T'!J:J)</f>
        <v>500</v>
      </c>
      <c r="G63" s="19">
        <f>_xlfn.XLOOKUP(C63,'Price &amp; Other Market Data'!F:F,'Price &amp; Other Market Data'!H:H)</f>
        <v>83.35</v>
      </c>
      <c r="H63" s="19">
        <f t="shared" si="2"/>
        <v>41675</v>
      </c>
      <c r="I63" s="21">
        <f t="shared" si="3"/>
        <v>3.7977432033808379E-3</v>
      </c>
      <c r="J63" t="s">
        <v>432</v>
      </c>
      <c r="K63" s="22">
        <f>_xlfn.XLOOKUP(C63,'Price &amp; Other Market Data'!$F:$F,'Price &amp; Other Market Data'!J:J)</f>
        <v>-6.4999999999999997E-3</v>
      </c>
      <c r="L63" s="19">
        <f>_xlfn.XLOOKUP(C63,'Price &amp; Other Market Data'!$F:$F,'Price &amp; Other Market Data'!K:K)</f>
        <v>84.44</v>
      </c>
      <c r="M63" s="19">
        <f>_xlfn.XLOOKUP(C63,'Price &amp; Other Market Data'!$F:$F,'Price &amp; Other Market Data'!L:L)</f>
        <v>40.43</v>
      </c>
    </row>
    <row r="64" spans="1:13" x14ac:dyDescent="0.3">
      <c r="A64" t="str">
        <f t="shared" si="0"/>
        <v>XLF US Equity</v>
      </c>
      <c r="B64" t="s">
        <v>282</v>
      </c>
      <c r="C64" t="str">
        <f t="shared" si="1"/>
        <v>XLF</v>
      </c>
      <c r="D64" t="str">
        <f>_xlfn.XLOOKUP(C64,'Price &amp; Other Market Data'!F:F,'Price &amp; Other Market Data'!I:I)</f>
        <v>State Street Financial Sel Sec SPDR ETF</v>
      </c>
      <c r="E64" s="13">
        <f>+'Price &amp; Other Market Data'!$B$3</f>
        <v>46120</v>
      </c>
      <c r="F64">
        <f>_xlfn.XLOOKUP(B64,'LH_Holding_Custody T'!G:G,'LH_Holding_Custody T'!J:J)</f>
        <v>13810</v>
      </c>
      <c r="G64" s="19">
        <f>_xlfn.XLOOKUP(C64,'Price &amp; Other Market Data'!F:F,'Price &amp; Other Market Data'!H:H)</f>
        <v>51.2</v>
      </c>
      <c r="H64" s="19">
        <f t="shared" si="2"/>
        <v>707072</v>
      </c>
      <c r="I64" s="21">
        <f t="shared" si="3"/>
        <v>6.4433782418737748E-2</v>
      </c>
      <c r="J64" t="s">
        <v>433</v>
      </c>
      <c r="K64" s="22">
        <f>_xlfn.XLOOKUP(C64,'Price &amp; Other Market Data'!$F:$F,'Price &amp; Other Market Data'!J:J)</f>
        <v>2.5000000000000001E-3</v>
      </c>
      <c r="L64" s="19">
        <f>_xlfn.XLOOKUP(C64,'Price &amp; Other Market Data'!$F:$F,'Price &amp; Other Market Data'!K:K)</f>
        <v>56.51</v>
      </c>
      <c r="M64" s="19">
        <f>_xlfn.XLOOKUP(C64,'Price &amp; Other Market Data'!$F:$F,'Price &amp; Other Market Data'!L:L)</f>
        <v>44.55</v>
      </c>
    </row>
    <row r="65" spans="1:13" x14ac:dyDescent="0.3">
      <c r="A65" t="str">
        <f t="shared" si="0"/>
        <v>POST US Equity</v>
      </c>
      <c r="B65" t="s">
        <v>284</v>
      </c>
      <c r="C65" t="str">
        <f t="shared" si="1"/>
        <v>POST</v>
      </c>
      <c r="D65" t="str">
        <f>_xlfn.XLOOKUP(C65,'Price &amp; Other Market Data'!F:F,'Price &amp; Other Market Data'!I:I)</f>
        <v>Post Holdings Inc</v>
      </c>
      <c r="E65" s="13">
        <f>+'Price &amp; Other Market Data'!$B$3</f>
        <v>46120</v>
      </c>
      <c r="F65">
        <f>_xlfn.XLOOKUP(B65,'LH_Holding_Custody T'!G:G,'LH_Holding_Custody T'!J:J)</f>
        <v>111</v>
      </c>
      <c r="G65" s="19">
        <f>_xlfn.XLOOKUP(C65,'Price &amp; Other Market Data'!F:F,'Price &amp; Other Market Data'!H:H)</f>
        <v>101.54</v>
      </c>
      <c r="H65" s="19">
        <f t="shared" si="2"/>
        <v>11270.94</v>
      </c>
      <c r="I65" s="21">
        <f t="shared" si="3"/>
        <v>1.0270938399691235E-3</v>
      </c>
      <c r="J65" t="s">
        <v>315</v>
      </c>
      <c r="K65" s="22">
        <f>_xlfn.XLOOKUP(C65,'Price &amp; Other Market Data'!$F:$F,'Price &amp; Other Market Data'!J:J)</f>
        <v>1.0200000000000001E-2</v>
      </c>
      <c r="L65" s="19">
        <f>_xlfn.XLOOKUP(C65,'Price &amp; Other Market Data'!$F:$F,'Price &amp; Other Market Data'!K:K)</f>
        <v>118.93</v>
      </c>
      <c r="M65" s="19">
        <f>_xlfn.XLOOKUP(C65,'Price &amp; Other Market Data'!$F:$F,'Price &amp; Other Market Data'!L:L)</f>
        <v>94.13</v>
      </c>
    </row>
    <row r="66" spans="1:13" x14ac:dyDescent="0.3">
      <c r="A66" t="str">
        <f t="shared" si="0"/>
        <v>VST US Equity</v>
      </c>
      <c r="B66" t="s">
        <v>286</v>
      </c>
      <c r="C66" t="str">
        <f t="shared" si="1"/>
        <v>VST</v>
      </c>
      <c r="D66" t="str">
        <f>_xlfn.XLOOKUP(C66,'Price &amp; Other Market Data'!F:F,'Price &amp; Other Market Data'!I:I)</f>
        <v>Vistra Corp</v>
      </c>
      <c r="E66" s="13">
        <f>+'Price &amp; Other Market Data'!$B$3</f>
        <v>46120</v>
      </c>
      <c r="F66">
        <f>_xlfn.XLOOKUP(B66,'LH_Holding_Custody T'!G:G,'LH_Holding_Custody T'!J:J)</f>
        <v>420</v>
      </c>
      <c r="G66" s="19">
        <f>_xlfn.XLOOKUP(C66,'Price &amp; Other Market Data'!F:F,'Price &amp; Other Market Data'!H:H)</f>
        <v>155.88999999999999</v>
      </c>
      <c r="H66" s="19">
        <f t="shared" si="2"/>
        <v>65473.799999999996</v>
      </c>
      <c r="I66" s="21">
        <f t="shared" si="3"/>
        <v>5.9664710005882735E-3</v>
      </c>
      <c r="J66" t="s">
        <v>432</v>
      </c>
      <c r="K66" s="22">
        <f>_xlfn.XLOOKUP(C66,'Price &amp; Other Market Data'!$F:$F,'Price &amp; Other Market Data'!J:J)</f>
        <v>-2.01E-2</v>
      </c>
      <c r="L66" s="19">
        <f>_xlfn.XLOOKUP(C66,'Price &amp; Other Market Data'!$F:$F,'Price &amp; Other Market Data'!K:K)</f>
        <v>219.82</v>
      </c>
      <c r="M66" s="19">
        <f>_xlfn.XLOOKUP(C66,'Price &amp; Other Market Data'!$F:$F,'Price &amp; Other Market Data'!L:L)</f>
        <v>103.34</v>
      </c>
    </row>
    <row r="67" spans="1:13" x14ac:dyDescent="0.3">
      <c r="A67" t="str">
        <f t="shared" si="0"/>
        <v>VRT US Equity</v>
      </c>
      <c r="B67" t="s">
        <v>288</v>
      </c>
      <c r="C67" t="str">
        <f t="shared" si="1"/>
        <v>VRT</v>
      </c>
      <c r="D67" t="str">
        <f>_xlfn.XLOOKUP(C67,'Price &amp; Other Market Data'!F:F,'Price &amp; Other Market Data'!I:I)</f>
        <v>Vertiv Holdings Co</v>
      </c>
      <c r="E67" s="13">
        <f>+'Price &amp; Other Market Data'!$B$3</f>
        <v>46120</v>
      </c>
      <c r="F67">
        <f>_xlfn.XLOOKUP(B67,'LH_Holding_Custody T'!G:G,'LH_Holding_Custody T'!J:J)</f>
        <v>30</v>
      </c>
      <c r="G67" s="19">
        <f>_xlfn.XLOOKUP(C67,'Price &amp; Other Market Data'!F:F,'Price &amp; Other Market Data'!H:H)</f>
        <v>281.02999999999997</v>
      </c>
      <c r="H67" s="19">
        <f t="shared" si="2"/>
        <v>8430.9</v>
      </c>
      <c r="I67" s="21">
        <f t="shared" si="3"/>
        <v>7.6828777860548302E-4</v>
      </c>
      <c r="J67" t="s">
        <v>433</v>
      </c>
      <c r="K67" s="22">
        <f>_xlfn.XLOOKUP(C67,'Price &amp; Other Market Data'!$F:$F,'Price &amp; Other Market Data'!J:J)</f>
        <v>2.35E-2</v>
      </c>
      <c r="L67" s="19">
        <f>_xlfn.XLOOKUP(C67,'Price &amp; Other Market Data'!$F:$F,'Price &amp; Other Market Data'!K:K)</f>
        <v>291</v>
      </c>
      <c r="M67" s="19">
        <f>_xlfn.XLOOKUP(C67,'Price &amp; Other Market Data'!$F:$F,'Price &amp; Other Market Data'!L:L)</f>
        <v>65.680000000000007</v>
      </c>
    </row>
    <row r="68" spans="1:13" x14ac:dyDescent="0.3">
      <c r="A68" t="str">
        <f t="shared" si="0"/>
        <v>ANET US Equity</v>
      </c>
      <c r="B68" t="s">
        <v>290</v>
      </c>
      <c r="C68" t="str">
        <f t="shared" si="1"/>
        <v>ANET</v>
      </c>
      <c r="D68" t="str">
        <f>_xlfn.XLOOKUP(C68,'Price &amp; Other Market Data'!F:F,'Price &amp; Other Market Data'!I:I)</f>
        <v>Arista Networks Inc</v>
      </c>
      <c r="E68" s="13">
        <f>+'Price &amp; Other Market Data'!$B$3</f>
        <v>46120</v>
      </c>
      <c r="F68">
        <f>_xlfn.XLOOKUP(B68,'LH_Holding_Custody T'!G:G,'LH_Holding_Custody T'!J:J)</f>
        <v>622</v>
      </c>
      <c r="G68" s="19">
        <f>_xlfn.XLOOKUP(C68,'Price &amp; Other Market Data'!F:F,'Price &amp; Other Market Data'!H:H)</f>
        <v>145.07</v>
      </c>
      <c r="H68" s="19">
        <f t="shared" si="2"/>
        <v>90233.54</v>
      </c>
      <c r="I68" s="21">
        <f t="shared" si="3"/>
        <v>8.2227669646549005E-3</v>
      </c>
      <c r="J68" t="s">
        <v>315</v>
      </c>
      <c r="K68" s="22">
        <f>_xlfn.XLOOKUP(C68,'Price &amp; Other Market Data'!$F:$F,'Price &amp; Other Market Data'!J:J)</f>
        <v>6.7999999999999996E-3</v>
      </c>
      <c r="L68" s="19">
        <f>_xlfn.XLOOKUP(C68,'Price &amp; Other Market Data'!$F:$F,'Price &amp; Other Market Data'!K:K)</f>
        <v>164.94</v>
      </c>
      <c r="M68" s="19">
        <f>_xlfn.XLOOKUP(C68,'Price &amp; Other Market Data'!$F:$F,'Price &amp; Other Market Data'!L:L)</f>
        <v>66.59</v>
      </c>
    </row>
    <row r="69" spans="1:13" x14ac:dyDescent="0.3">
      <c r="A69" t="str">
        <f t="shared" si="0"/>
        <v>AMZN US Equity</v>
      </c>
      <c r="B69" t="s">
        <v>292</v>
      </c>
      <c r="C69" t="str">
        <f t="shared" si="1"/>
        <v>AMZN</v>
      </c>
      <c r="D69" t="str">
        <f>_xlfn.XLOOKUP(C69,'Price &amp; Other Market Data'!F:F,'Price &amp; Other Market Data'!I:I)</f>
        <v>Amazon.com Inc</v>
      </c>
      <c r="E69" s="13">
        <f>+'Price &amp; Other Market Data'!$B$3</f>
        <v>46120</v>
      </c>
      <c r="F69">
        <f>_xlfn.XLOOKUP(B69,'LH_Holding_Custody T'!G:G,'LH_Holding_Custody T'!J:J)</f>
        <v>1295</v>
      </c>
      <c r="G69" s="19">
        <f>_xlfn.XLOOKUP(C69,'Price &amp; Other Market Data'!F:F,'Price &amp; Other Market Data'!H:H)</f>
        <v>221.25</v>
      </c>
      <c r="H69" s="19">
        <f t="shared" si="2"/>
        <v>286518.75</v>
      </c>
      <c r="I69" s="21">
        <f t="shared" si="3"/>
        <v>2.6109769297028757E-2</v>
      </c>
      <c r="J69" t="s">
        <v>432</v>
      </c>
      <c r="K69" s="22">
        <f>_xlfn.XLOOKUP(C69,'Price &amp; Other Market Data'!$F:$F,'Price &amp; Other Market Data'!J:J)</f>
        <v>5.6000000000000001E-2</v>
      </c>
      <c r="L69" s="19">
        <f>_xlfn.XLOOKUP(C69,'Price &amp; Other Market Data'!$F:$F,'Price &amp; Other Market Data'!K:K)</f>
        <v>258.60000000000002</v>
      </c>
      <c r="M69" s="19">
        <f>_xlfn.XLOOKUP(C69,'Price &amp; Other Market Data'!$F:$F,'Price &amp; Other Market Data'!L:L)</f>
        <v>165.29</v>
      </c>
    </row>
    <row r="70" spans="1:13" x14ac:dyDescent="0.3">
      <c r="A70" t="str">
        <f t="shared" si="0"/>
        <v>GLW US Equity</v>
      </c>
      <c r="B70" t="s">
        <v>294</v>
      </c>
      <c r="C70" t="str">
        <f t="shared" si="1"/>
        <v>GLW</v>
      </c>
      <c r="D70" t="str">
        <f>_xlfn.XLOOKUP(C70,'Price &amp; Other Market Data'!F:F,'Price &amp; Other Market Data'!I:I)</f>
        <v>Corning Inc</v>
      </c>
      <c r="E70" s="13">
        <f>+'Price &amp; Other Market Data'!$B$3</f>
        <v>46120</v>
      </c>
      <c r="F70">
        <f>_xlfn.XLOOKUP(B70,'LH_Holding_Custody T'!G:G,'LH_Holding_Custody T'!J:J)</f>
        <v>969</v>
      </c>
      <c r="G70" s="19">
        <f>_xlfn.XLOOKUP(C70,'Price &amp; Other Market Data'!F:F,'Price &amp; Other Market Data'!H:H)</f>
        <v>165.1</v>
      </c>
      <c r="H70" s="19">
        <f t="shared" si="2"/>
        <v>159981.9</v>
      </c>
      <c r="I70" s="21">
        <f t="shared" si="3"/>
        <v>1.4578768407653339E-2</v>
      </c>
      <c r="J70" t="s">
        <v>433</v>
      </c>
      <c r="K70" s="22">
        <f>_xlfn.XLOOKUP(C70,'Price &amp; Other Market Data'!$F:$F,'Price &amp; Other Market Data'!J:J)</f>
        <v>2.8500000000000001E-2</v>
      </c>
      <c r="L70" s="19">
        <f>_xlfn.XLOOKUP(C70,'Price &amp; Other Market Data'!$F:$F,'Price &amp; Other Market Data'!K:K)</f>
        <v>172.22</v>
      </c>
      <c r="M70" s="19">
        <f>_xlfn.XLOOKUP(C70,'Price &amp; Other Market Data'!$F:$F,'Price &amp; Other Market Data'!L:L)</f>
        <v>40.159999999999997</v>
      </c>
    </row>
    <row r="71" spans="1:13" x14ac:dyDescent="0.3">
      <c r="A71" t="str">
        <f t="shared" ref="A71:A76" si="4">B71&amp;$A$4</f>
        <v>V US Equity</v>
      </c>
      <c r="B71" t="s">
        <v>296</v>
      </c>
      <c r="C71" t="str">
        <f t="shared" ref="C71:C76" si="5">SUBSTITUTE(REPLACE(B71,LEN(B71)-2,3,""),"/",".")</f>
        <v>V</v>
      </c>
      <c r="D71" t="str">
        <f>_xlfn.XLOOKUP(C71,'Price &amp; Other Market Data'!F:F,'Price &amp; Other Market Data'!I:I)</f>
        <v>Visa Inc</v>
      </c>
      <c r="E71" s="13">
        <f>+'Price &amp; Other Market Data'!$B$3</f>
        <v>46120</v>
      </c>
      <c r="F71">
        <f>_xlfn.XLOOKUP(B71,'LH_Holding_Custody T'!G:G,'LH_Holding_Custody T'!J:J)</f>
        <v>97</v>
      </c>
      <c r="G71" s="19">
        <f>_xlfn.XLOOKUP(C71,'Price &amp; Other Market Data'!F:F,'Price &amp; Other Market Data'!H:H)</f>
        <v>308.95999999999998</v>
      </c>
      <c r="H71" s="19">
        <f t="shared" ref="H71:H76" si="6">F71*G71</f>
        <v>29969.119999999999</v>
      </c>
      <c r="I71" s="21">
        <f t="shared" ref="I71:I76" si="7">H71/$H$1</f>
        <v>2.7310143201272883E-3</v>
      </c>
      <c r="J71" t="s">
        <v>315</v>
      </c>
      <c r="K71" s="22">
        <f>_xlfn.XLOOKUP(C71,'Price &amp; Other Market Data'!$F:$F,'Price &amp; Other Market Data'!J:J)</f>
        <v>-2.2000000000000001E-3</v>
      </c>
      <c r="L71" s="19">
        <f>_xlfn.XLOOKUP(C71,'Price &amp; Other Market Data'!$F:$F,'Price &amp; Other Market Data'!K:K)</f>
        <v>375.51</v>
      </c>
      <c r="M71" s="19">
        <f>_xlfn.XLOOKUP(C71,'Price &amp; Other Market Data'!$F:$F,'Price &amp; Other Market Data'!L:L)</f>
        <v>293.89</v>
      </c>
    </row>
    <row r="72" spans="1:13" x14ac:dyDescent="0.3">
      <c r="A72" t="str">
        <f t="shared" si="4"/>
        <v>XLC US Equity</v>
      </c>
      <c r="B72" t="s">
        <v>298</v>
      </c>
      <c r="C72" t="str">
        <f t="shared" si="5"/>
        <v>XLC</v>
      </c>
      <c r="D72" t="str">
        <f>_xlfn.XLOOKUP(C72,'Price &amp; Other Market Data'!F:F,'Price &amp; Other Market Data'!I:I)</f>
        <v>State Street Com Svc Sel Sec SPDR ETF</v>
      </c>
      <c r="E72" s="13">
        <f>+'Price &amp; Other Market Data'!$B$3</f>
        <v>46120</v>
      </c>
      <c r="F72">
        <f>_xlfn.XLOOKUP(B72,'LH_Holding_Custody T'!G:G,'LH_Holding_Custody T'!J:J)</f>
        <v>969</v>
      </c>
      <c r="G72" s="19">
        <f>_xlfn.XLOOKUP(C72,'Price &amp; Other Market Data'!F:F,'Price &amp; Other Market Data'!H:H)</f>
        <v>113.81</v>
      </c>
      <c r="H72" s="19">
        <f t="shared" si="6"/>
        <v>110281.89</v>
      </c>
      <c r="I72" s="21">
        <f t="shared" si="7"/>
        <v>1.0049725211841469E-2</v>
      </c>
      <c r="J72" t="s">
        <v>432</v>
      </c>
      <c r="K72" s="22">
        <f>_xlfn.XLOOKUP(C72,'Price &amp; Other Market Data'!$F:$F,'Price &amp; Other Market Data'!J:J)</f>
        <v>4.0000000000000001E-3</v>
      </c>
      <c r="L72" s="19">
        <f>_xlfn.XLOOKUP(C72,'Price &amp; Other Market Data'!$F:$F,'Price &amp; Other Market Data'!K:K)</f>
        <v>120.39</v>
      </c>
      <c r="M72" s="19">
        <f>_xlfn.XLOOKUP(C72,'Price &amp; Other Market Data'!$F:$F,'Price &amp; Other Market Data'!L:L)</f>
        <v>87.49</v>
      </c>
    </row>
    <row r="73" spans="1:13" x14ac:dyDescent="0.3">
      <c r="A73" t="str">
        <f t="shared" si="4"/>
        <v>PTRN US Equity</v>
      </c>
      <c r="B73" t="s">
        <v>300</v>
      </c>
      <c r="C73" t="str">
        <f t="shared" si="5"/>
        <v>PTRN</v>
      </c>
      <c r="D73" t="str">
        <f>_xlfn.XLOOKUP(C73,'Price &amp; Other Market Data'!F:F,'Price &amp; Other Market Data'!I:I)</f>
        <v>Pattern Group Inc</v>
      </c>
      <c r="E73" s="13">
        <f>+'Price &amp; Other Market Data'!$B$3</f>
        <v>46120</v>
      </c>
      <c r="F73">
        <f>_xlfn.XLOOKUP(B73,'LH_Holding_Custody T'!G:G,'LH_Holding_Custody T'!J:J)</f>
        <v>1287</v>
      </c>
      <c r="G73" s="19">
        <f>_xlfn.XLOOKUP(C73,'Price &amp; Other Market Data'!F:F,'Price &amp; Other Market Data'!H:H)</f>
        <v>12.6</v>
      </c>
      <c r="H73" s="19">
        <f t="shared" si="6"/>
        <v>16216.199999999999</v>
      </c>
      <c r="I73" s="21">
        <f t="shared" si="7"/>
        <v>1.4777435713176806E-3</v>
      </c>
      <c r="J73" t="s">
        <v>315</v>
      </c>
      <c r="K73" s="22">
        <f>_xlfn.XLOOKUP(C73,'Price &amp; Other Market Data'!$F:$F,'Price &amp; Other Market Data'!J:J)</f>
        <v>1.5900000000000001E-2</v>
      </c>
      <c r="L73" s="19">
        <f>_xlfn.XLOOKUP(C73,'Price &amp; Other Market Data'!$F:$F,'Price &amp; Other Market Data'!K:K)</f>
        <v>20.100000000000001</v>
      </c>
      <c r="M73" s="19">
        <f>_xlfn.XLOOKUP(C73,'Price &amp; Other Market Data'!$F:$F,'Price &amp; Other Market Data'!L:L)</f>
        <v>8.92</v>
      </c>
    </row>
    <row r="74" spans="1:13" x14ac:dyDescent="0.3">
      <c r="A74" t="str">
        <f t="shared" si="4"/>
        <v>ACN US Equity</v>
      </c>
      <c r="B74" t="s">
        <v>302</v>
      </c>
      <c r="C74" t="str">
        <f t="shared" si="5"/>
        <v>ACN</v>
      </c>
      <c r="D74" t="str">
        <f>_xlfn.XLOOKUP(C74,'Price &amp; Other Market Data'!F:F,'Price &amp; Other Market Data'!I:I)</f>
        <v>Accenture Plc</v>
      </c>
      <c r="E74" s="13">
        <f>+'Price &amp; Other Market Data'!$B$3</f>
        <v>46120</v>
      </c>
      <c r="F74">
        <f>_xlfn.XLOOKUP(B74,'LH_Holding_Custody T'!G:G,'LH_Holding_Custody T'!J:J)</f>
        <v>100</v>
      </c>
      <c r="G74" s="19">
        <f>_xlfn.XLOOKUP(C74,'Price &amp; Other Market Data'!F:F,'Price &amp; Other Market Data'!H:H)</f>
        <v>193.84</v>
      </c>
      <c r="H74" s="19">
        <f t="shared" si="6"/>
        <v>19384</v>
      </c>
      <c r="I74" s="21">
        <f t="shared" si="7"/>
        <v>1.7664176185803039E-3</v>
      </c>
      <c r="J74" t="s">
        <v>432</v>
      </c>
      <c r="K74" s="22">
        <f>_xlfn.XLOOKUP(C74,'Price &amp; Other Market Data'!$F:$F,'Price &amp; Other Market Data'!J:J)</f>
        <v>-3.2199999999999999E-2</v>
      </c>
      <c r="L74" s="19">
        <f>_xlfn.XLOOKUP(C74,'Price &amp; Other Market Data'!$F:$F,'Price &amp; Other Market Data'!K:K)</f>
        <v>325.70999999999998</v>
      </c>
      <c r="M74" s="19">
        <f>_xlfn.XLOOKUP(C74,'Price &amp; Other Market Data'!$F:$F,'Price &amp; Other Market Data'!L:L)</f>
        <v>182.38</v>
      </c>
    </row>
    <row r="75" spans="1:13" x14ac:dyDescent="0.3">
      <c r="A75" t="str">
        <f t="shared" si="4"/>
        <v>XLG US Equity</v>
      </c>
      <c r="B75" t="s">
        <v>304</v>
      </c>
      <c r="C75" t="str">
        <f t="shared" si="5"/>
        <v>XLG</v>
      </c>
      <c r="D75" t="str">
        <f>_xlfn.XLOOKUP(C75,'Price &amp; Other Market Data'!F:F,'Price &amp; Other Market Data'!I:I)</f>
        <v>Invesco S&amp;P 500 Top 50 ETF</v>
      </c>
      <c r="E75" s="13">
        <f>+'Price &amp; Other Market Data'!$B$3</f>
        <v>46120</v>
      </c>
      <c r="F75">
        <f>_xlfn.XLOOKUP(B75,'LH_Holding_Custody T'!G:G,'LH_Holding_Custody T'!J:J)</f>
        <v>63</v>
      </c>
      <c r="G75" s="19">
        <f>_xlfn.XLOOKUP(C75,'Price &amp; Other Market Data'!F:F,'Price &amp; Other Market Data'!H:H)</f>
        <v>56.41</v>
      </c>
      <c r="H75" s="19">
        <f t="shared" si="6"/>
        <v>3553.83</v>
      </c>
      <c r="I75" s="21">
        <f t="shared" si="7"/>
        <v>3.2385203907548706E-4</v>
      </c>
      <c r="J75" t="s">
        <v>433</v>
      </c>
      <c r="K75" s="22">
        <f>_xlfn.XLOOKUP(C75,'Price &amp; Other Market Data'!$F:$F,'Price &amp; Other Market Data'!J:J)</f>
        <v>7.6E-3</v>
      </c>
      <c r="L75" s="19">
        <f>_xlfn.XLOOKUP(C75,'Price &amp; Other Market Data'!$F:$F,'Price &amp; Other Market Data'!K:K)</f>
        <v>60.63</v>
      </c>
      <c r="M75" s="19">
        <f>_xlfn.XLOOKUP(C75,'Price &amp; Other Market Data'!$F:$F,'Price &amp; Other Market Data'!L:L)</f>
        <v>41.66</v>
      </c>
    </row>
    <row r="76" spans="1:13" x14ac:dyDescent="0.3">
      <c r="A76" t="str">
        <f t="shared" si="4"/>
        <v>NFLX US Equity</v>
      </c>
      <c r="B76" t="s">
        <v>306</v>
      </c>
      <c r="C76" t="str">
        <f t="shared" si="5"/>
        <v>NFLX</v>
      </c>
      <c r="D76" t="str">
        <f>_xlfn.XLOOKUP(C76,'Price &amp; Other Market Data'!F:F,'Price &amp; Other Market Data'!I:I)</f>
        <v>Netflix Inc</v>
      </c>
      <c r="E76" s="13">
        <f>+'Price &amp; Other Market Data'!$B$3</f>
        <v>46120</v>
      </c>
      <c r="F76">
        <f>_xlfn.XLOOKUP(B76,'LH_Holding_Custody T'!G:G,'LH_Holding_Custody T'!J:J)</f>
        <v>450</v>
      </c>
      <c r="G76" s="19">
        <f>_xlfn.XLOOKUP(C76,'Price &amp; Other Market Data'!F:F,'Price &amp; Other Market Data'!H:H)</f>
        <v>99.39</v>
      </c>
      <c r="H76" s="19">
        <f t="shared" si="6"/>
        <v>44725.5</v>
      </c>
      <c r="I76" s="21">
        <f t="shared" si="7"/>
        <v>4.0757279818310656E-3</v>
      </c>
      <c r="J76" t="s">
        <v>433</v>
      </c>
      <c r="K76" s="22">
        <f>_xlfn.XLOOKUP(C76,'Price &amp; Other Market Data'!$F:$F,'Price &amp; Other Market Data'!J:J)</f>
        <v>2.7199999999999998E-2</v>
      </c>
      <c r="L76" s="19">
        <f>_xlfn.XLOOKUP(C76,'Price &amp; Other Market Data'!$F:$F,'Price &amp; Other Market Data'!K:K)</f>
        <v>134.12</v>
      </c>
      <c r="M76" s="19">
        <f>_xlfn.XLOOKUP(C76,'Price &amp; Other Market Data'!$F:$F,'Price &amp; Other Market Data'!L:L)</f>
        <v>75.010000000000005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AEEA-546E-48D3-9FA2-CDE74C6BF762}">
  <dimension ref="A1:L168"/>
  <sheetViews>
    <sheetView showGridLines="0" workbookViewId="0">
      <selection activeCell="F1" sqref="F1"/>
    </sheetView>
  </sheetViews>
  <sheetFormatPr defaultRowHeight="14.4" x14ac:dyDescent="0.3"/>
  <cols>
    <col min="1" max="1" width="18.88671875" bestFit="1" customWidth="1"/>
    <col min="2" max="2" width="17.5546875" bestFit="1" customWidth="1"/>
    <col min="3" max="3" width="9" bestFit="1" customWidth="1"/>
    <col min="4" max="4" width="5" bestFit="1" customWidth="1"/>
    <col min="6" max="6" width="7.21875" bestFit="1" customWidth="1"/>
    <col min="7" max="7" width="10.33203125" bestFit="1" customWidth="1"/>
    <col min="8" max="8" width="8" bestFit="1" customWidth="1"/>
    <col min="9" max="9" width="44.109375" bestFit="1" customWidth="1"/>
    <col min="10" max="10" width="11.33203125" bestFit="1" customWidth="1"/>
    <col min="11" max="11" width="8.6640625" bestFit="1" customWidth="1"/>
    <col min="12" max="12" width="8.21875" bestFit="1" customWidth="1"/>
  </cols>
  <sheetData>
    <row r="1" spans="1:12" x14ac:dyDescent="0.3">
      <c r="A1" t="s">
        <v>316</v>
      </c>
      <c r="B1" t="s">
        <v>100</v>
      </c>
      <c r="F1" t="s">
        <v>4</v>
      </c>
      <c r="G1" t="s">
        <v>8</v>
      </c>
      <c r="H1" t="s">
        <v>317</v>
      </c>
      <c r="I1" t="s">
        <v>0</v>
      </c>
      <c r="J1" t="s">
        <v>318</v>
      </c>
      <c r="K1" t="s">
        <v>319</v>
      </c>
      <c r="L1" t="s">
        <v>320</v>
      </c>
    </row>
    <row r="2" spans="1:12" x14ac:dyDescent="0.3">
      <c r="A2" t="s">
        <v>321</v>
      </c>
      <c r="B2" t="s">
        <v>322</v>
      </c>
      <c r="F2" t="s">
        <v>92</v>
      </c>
      <c r="G2" s="16">
        <v>46120</v>
      </c>
      <c r="H2">
        <v>258.89999999999998</v>
      </c>
      <c r="I2" t="s">
        <v>323</v>
      </c>
      <c r="J2" s="17">
        <v>6.1000000000000004E-3</v>
      </c>
      <c r="K2">
        <v>288.61</v>
      </c>
      <c r="L2">
        <v>183</v>
      </c>
    </row>
    <row r="3" spans="1:12" x14ac:dyDescent="0.3">
      <c r="A3" t="s">
        <v>324</v>
      </c>
      <c r="B3" s="18">
        <v>46120</v>
      </c>
      <c r="C3" s="15"/>
      <c r="D3" s="15"/>
      <c r="G3" t="s">
        <v>8</v>
      </c>
      <c r="H3" t="s">
        <v>317</v>
      </c>
    </row>
    <row r="4" spans="1:12" x14ac:dyDescent="0.3">
      <c r="A4" t="s">
        <v>325</v>
      </c>
      <c r="B4">
        <v>30</v>
      </c>
      <c r="F4" t="s">
        <v>148</v>
      </c>
      <c r="G4" s="16">
        <v>46120</v>
      </c>
      <c r="H4">
        <v>193.84</v>
      </c>
      <c r="I4" t="s">
        <v>326</v>
      </c>
      <c r="J4" s="17">
        <v>-3.2199999999999999E-2</v>
      </c>
      <c r="K4">
        <v>325.70999999999998</v>
      </c>
      <c r="L4">
        <v>182.38</v>
      </c>
    </row>
    <row r="5" spans="1:12" x14ac:dyDescent="0.3">
      <c r="A5" t="s">
        <v>327</v>
      </c>
      <c r="B5">
        <v>7</v>
      </c>
      <c r="G5" t="s">
        <v>8</v>
      </c>
      <c r="H5" t="s">
        <v>317</v>
      </c>
    </row>
    <row r="6" spans="1:12" x14ac:dyDescent="0.3">
      <c r="A6" t="s">
        <v>328</v>
      </c>
      <c r="B6" s="16">
        <v>46119</v>
      </c>
      <c r="F6" t="s">
        <v>129</v>
      </c>
      <c r="G6" s="16">
        <v>46120</v>
      </c>
      <c r="H6">
        <v>215.59</v>
      </c>
      <c r="I6" t="s">
        <v>329</v>
      </c>
      <c r="J6" s="17">
        <v>3.8E-3</v>
      </c>
      <c r="K6">
        <v>255.24</v>
      </c>
      <c r="L6">
        <v>103.38</v>
      </c>
    </row>
    <row r="7" spans="1:12" x14ac:dyDescent="0.3">
      <c r="G7" t="s">
        <v>8</v>
      </c>
      <c r="H7" t="s">
        <v>317</v>
      </c>
    </row>
    <row r="8" spans="1:12" x14ac:dyDescent="0.3">
      <c r="F8" t="s">
        <v>143</v>
      </c>
      <c r="G8" s="16">
        <v>46120</v>
      </c>
      <c r="H8">
        <v>221.25</v>
      </c>
      <c r="I8" t="s">
        <v>330</v>
      </c>
      <c r="J8" s="17">
        <v>5.6000000000000001E-2</v>
      </c>
      <c r="K8">
        <v>258.60000000000002</v>
      </c>
      <c r="L8">
        <v>165.29</v>
      </c>
    </row>
    <row r="9" spans="1:12" x14ac:dyDescent="0.3">
      <c r="A9" t="s">
        <v>331</v>
      </c>
      <c r="B9" t="s">
        <v>332</v>
      </c>
      <c r="C9">
        <v>6824.66</v>
      </c>
      <c r="D9">
        <v>0.62</v>
      </c>
      <c r="G9" t="s">
        <v>8</v>
      </c>
      <c r="H9" t="s">
        <v>317</v>
      </c>
    </row>
    <row r="10" spans="1:12" x14ac:dyDescent="0.3">
      <c r="A10" t="s">
        <v>333</v>
      </c>
      <c r="B10" t="s">
        <v>334</v>
      </c>
      <c r="C10">
        <v>48185.8</v>
      </c>
      <c r="D10">
        <v>0.57999999999999996</v>
      </c>
      <c r="F10" t="s">
        <v>142</v>
      </c>
      <c r="G10" s="16">
        <v>46120</v>
      </c>
      <c r="H10">
        <v>145.07</v>
      </c>
      <c r="I10" t="s">
        <v>335</v>
      </c>
      <c r="J10" s="17">
        <v>6.7999999999999996E-3</v>
      </c>
      <c r="K10">
        <v>164.94</v>
      </c>
      <c r="L10">
        <v>66.59</v>
      </c>
    </row>
    <row r="11" spans="1:12" x14ac:dyDescent="0.3">
      <c r="A11" t="s">
        <v>336</v>
      </c>
      <c r="B11" t="s">
        <v>337</v>
      </c>
      <c r="C11">
        <v>22822.42</v>
      </c>
      <c r="D11">
        <v>0.83</v>
      </c>
      <c r="G11" t="s">
        <v>8</v>
      </c>
      <c r="H11" t="s">
        <v>317</v>
      </c>
    </row>
    <row r="12" spans="1:12" x14ac:dyDescent="0.3">
      <c r="A12" t="s">
        <v>338</v>
      </c>
      <c r="B12" t="s">
        <v>339</v>
      </c>
      <c r="C12">
        <v>3883.54</v>
      </c>
      <c r="D12">
        <v>0.55000000000000004</v>
      </c>
      <c r="F12" t="s">
        <v>112</v>
      </c>
      <c r="G12" s="16">
        <v>46120</v>
      </c>
      <c r="H12">
        <v>1421.05</v>
      </c>
      <c r="I12" t="s">
        <v>340</v>
      </c>
      <c r="J12" s="17">
        <v>1.9400000000000001E-2</v>
      </c>
      <c r="K12">
        <v>1547.22</v>
      </c>
      <c r="L12">
        <v>614.05999999999995</v>
      </c>
    </row>
    <row r="13" spans="1:12" x14ac:dyDescent="0.3">
      <c r="A13" t="s">
        <v>341</v>
      </c>
      <c r="B13" t="s">
        <v>342</v>
      </c>
      <c r="C13">
        <v>15225.18</v>
      </c>
      <c r="D13">
        <v>0.62</v>
      </c>
      <c r="G13" t="s">
        <v>8</v>
      </c>
      <c r="H13" t="s">
        <v>317</v>
      </c>
    </row>
    <row r="14" spans="1:12" x14ac:dyDescent="0.3">
      <c r="F14" t="s">
        <v>96</v>
      </c>
      <c r="G14" s="16">
        <v>46120</v>
      </c>
      <c r="H14">
        <v>96.46</v>
      </c>
      <c r="I14" t="s">
        <v>343</v>
      </c>
      <c r="J14" s="17">
        <v>-5.0299999999999997E-2</v>
      </c>
      <c r="K14">
        <v>129.87</v>
      </c>
      <c r="L14">
        <v>20.260000000000002</v>
      </c>
    </row>
    <row r="15" spans="1:12" x14ac:dyDescent="0.3">
      <c r="G15" t="s">
        <v>8</v>
      </c>
      <c r="H15" t="s">
        <v>317</v>
      </c>
    </row>
    <row r="16" spans="1:12" x14ac:dyDescent="0.3">
      <c r="F16" t="s">
        <v>114</v>
      </c>
      <c r="G16" s="16">
        <v>46120</v>
      </c>
      <c r="H16">
        <v>350.63</v>
      </c>
      <c r="I16" t="s">
        <v>344</v>
      </c>
      <c r="J16" s="17">
        <v>1.2200000000000001E-2</v>
      </c>
      <c r="K16">
        <v>414.61</v>
      </c>
      <c r="L16">
        <v>161.62</v>
      </c>
    </row>
    <row r="17" spans="6:12" x14ac:dyDescent="0.3">
      <c r="G17" t="s">
        <v>8</v>
      </c>
      <c r="H17" t="s">
        <v>317</v>
      </c>
    </row>
    <row r="18" spans="6:12" x14ac:dyDescent="0.3">
      <c r="F18" t="s">
        <v>105</v>
      </c>
      <c r="G18" s="16">
        <v>46120</v>
      </c>
      <c r="H18">
        <v>479.75</v>
      </c>
      <c r="I18" t="s">
        <v>345</v>
      </c>
      <c r="J18" s="17">
        <v>1.14E-2</v>
      </c>
      <c r="K18">
        <v>542.07000000000005</v>
      </c>
      <c r="L18">
        <v>455.19</v>
      </c>
    </row>
    <row r="19" spans="6:12" x14ac:dyDescent="0.3">
      <c r="G19" t="s">
        <v>8</v>
      </c>
      <c r="H19" t="s">
        <v>317</v>
      </c>
    </row>
    <row r="20" spans="6:12" x14ac:dyDescent="0.3">
      <c r="F20" t="s">
        <v>111</v>
      </c>
      <c r="G20" s="16">
        <v>46120</v>
      </c>
      <c r="H20">
        <v>771.58</v>
      </c>
      <c r="I20" t="s">
        <v>346</v>
      </c>
      <c r="J20" s="17">
        <v>2.01E-2</v>
      </c>
      <c r="K20">
        <v>795.52</v>
      </c>
      <c r="L20">
        <v>279.8</v>
      </c>
    </row>
    <row r="21" spans="6:12" x14ac:dyDescent="0.3">
      <c r="G21" t="s">
        <v>8</v>
      </c>
      <c r="H21" t="s">
        <v>317</v>
      </c>
    </row>
    <row r="22" spans="6:12" x14ac:dyDescent="0.3">
      <c r="F22" t="s">
        <v>121</v>
      </c>
      <c r="G22" s="16">
        <v>46120</v>
      </c>
      <c r="H22">
        <v>12.53</v>
      </c>
      <c r="I22" t="s">
        <v>347</v>
      </c>
      <c r="J22" s="17">
        <v>1.04E-2</v>
      </c>
      <c r="K22">
        <v>19.739999999999998</v>
      </c>
      <c r="L22">
        <v>9.8000000000000007</v>
      </c>
    </row>
    <row r="23" spans="6:12" x14ac:dyDescent="0.3">
      <c r="G23" t="s">
        <v>8</v>
      </c>
      <c r="H23" t="s">
        <v>317</v>
      </c>
    </row>
    <row r="24" spans="6:12" x14ac:dyDescent="0.3">
      <c r="F24" t="s">
        <v>131</v>
      </c>
      <c r="G24" s="16">
        <v>46120</v>
      </c>
      <c r="H24">
        <v>204.79</v>
      </c>
      <c r="I24" t="s">
        <v>348</v>
      </c>
      <c r="J24" s="17">
        <v>-1.5800000000000002E-2</v>
      </c>
      <c r="K24">
        <v>218</v>
      </c>
      <c r="L24">
        <v>118.73</v>
      </c>
    </row>
    <row r="25" spans="6:12" x14ac:dyDescent="0.3">
      <c r="G25" t="s">
        <v>8</v>
      </c>
      <c r="H25" t="s">
        <v>317</v>
      </c>
    </row>
    <row r="26" spans="6:12" x14ac:dyDescent="0.3">
      <c r="F26" t="s">
        <v>106</v>
      </c>
      <c r="G26" s="16">
        <v>46120</v>
      </c>
      <c r="H26">
        <v>1525.16</v>
      </c>
      <c r="I26" t="s">
        <v>349</v>
      </c>
      <c r="J26" s="17">
        <v>3.2300000000000002E-2</v>
      </c>
      <c r="K26">
        <v>1601.9</v>
      </c>
      <c r="L26">
        <v>321.95</v>
      </c>
    </row>
    <row r="27" spans="6:12" x14ac:dyDescent="0.3">
      <c r="G27" t="s">
        <v>8</v>
      </c>
      <c r="H27" t="s">
        <v>317</v>
      </c>
    </row>
    <row r="28" spans="6:12" x14ac:dyDescent="0.3">
      <c r="F28" t="s">
        <v>103</v>
      </c>
      <c r="G28" s="16">
        <v>46120</v>
      </c>
      <c r="H28">
        <v>308.06</v>
      </c>
      <c r="I28" t="s">
        <v>350</v>
      </c>
      <c r="J28" s="17">
        <v>1.61E-2</v>
      </c>
      <c r="K28">
        <v>348.48</v>
      </c>
      <c r="L28">
        <v>175.05</v>
      </c>
    </row>
    <row r="29" spans="6:12" x14ac:dyDescent="0.3">
      <c r="G29" t="s">
        <v>8</v>
      </c>
      <c r="H29" t="s">
        <v>317</v>
      </c>
    </row>
    <row r="30" spans="6:12" x14ac:dyDescent="0.3">
      <c r="F30" t="s">
        <v>122</v>
      </c>
      <c r="G30" s="16">
        <v>46120</v>
      </c>
      <c r="H30">
        <v>936.07</v>
      </c>
      <c r="I30" t="s">
        <v>351</v>
      </c>
      <c r="J30" s="17">
        <v>3.4099999999999998E-2</v>
      </c>
      <c r="K30">
        <v>979.43</v>
      </c>
      <c r="L30">
        <v>303.10000000000002</v>
      </c>
    </row>
    <row r="31" spans="6:12" x14ac:dyDescent="0.3">
      <c r="G31" t="s">
        <v>8</v>
      </c>
      <c r="H31" t="s">
        <v>317</v>
      </c>
    </row>
    <row r="32" spans="6:12" x14ac:dyDescent="0.3">
      <c r="F32" t="s">
        <v>144</v>
      </c>
      <c r="G32" s="16">
        <v>46120</v>
      </c>
      <c r="H32">
        <v>165.1</v>
      </c>
      <c r="I32" t="s">
        <v>352</v>
      </c>
      <c r="J32" s="17">
        <v>2.8500000000000001E-2</v>
      </c>
      <c r="K32">
        <v>172.22</v>
      </c>
      <c r="L32">
        <v>40.159999999999997</v>
      </c>
    </row>
    <row r="33" spans="6:12" x14ac:dyDescent="0.3">
      <c r="G33" t="s">
        <v>8</v>
      </c>
      <c r="H33" t="s">
        <v>317</v>
      </c>
    </row>
    <row r="34" spans="6:12" x14ac:dyDescent="0.3">
      <c r="F34" t="s">
        <v>117</v>
      </c>
      <c r="G34" s="16">
        <v>46120</v>
      </c>
      <c r="H34">
        <v>314.74</v>
      </c>
      <c r="I34" t="s">
        <v>353</v>
      </c>
      <c r="J34" s="17">
        <v>5.1999999999999998E-3</v>
      </c>
      <c r="K34">
        <v>350.15</v>
      </c>
      <c r="L34">
        <v>148.4</v>
      </c>
    </row>
    <row r="35" spans="6:12" x14ac:dyDescent="0.3">
      <c r="G35" t="s">
        <v>8</v>
      </c>
      <c r="H35" t="s">
        <v>317</v>
      </c>
    </row>
    <row r="36" spans="6:12" x14ac:dyDescent="0.3">
      <c r="F36" t="s">
        <v>102</v>
      </c>
      <c r="G36" s="16">
        <v>46120</v>
      </c>
      <c r="H36">
        <v>317.32</v>
      </c>
      <c r="I36" t="s">
        <v>354</v>
      </c>
      <c r="J36" s="17">
        <v>3.5999999999999999E-3</v>
      </c>
      <c r="K36">
        <v>349</v>
      </c>
      <c r="L36">
        <v>146.1</v>
      </c>
    </row>
    <row r="37" spans="6:12" x14ac:dyDescent="0.3">
      <c r="G37" t="s">
        <v>8</v>
      </c>
      <c r="H37" t="s">
        <v>317</v>
      </c>
    </row>
    <row r="38" spans="6:12" x14ac:dyDescent="0.3">
      <c r="F38" t="s">
        <v>125</v>
      </c>
      <c r="G38" s="16">
        <v>46120</v>
      </c>
      <c r="H38">
        <v>16.88</v>
      </c>
      <c r="I38" t="s">
        <v>355</v>
      </c>
      <c r="J38" s="17">
        <v>-2.9000000000000001E-2</v>
      </c>
      <c r="K38">
        <v>25.93</v>
      </c>
      <c r="L38">
        <v>15.48</v>
      </c>
    </row>
    <row r="39" spans="6:12" x14ac:dyDescent="0.3">
      <c r="G39" t="s">
        <v>8</v>
      </c>
      <c r="H39" t="s">
        <v>317</v>
      </c>
    </row>
    <row r="40" spans="6:12" x14ac:dyDescent="0.3">
      <c r="F40" t="s">
        <v>124</v>
      </c>
      <c r="G40" s="16">
        <v>46120</v>
      </c>
      <c r="H40">
        <v>202.29</v>
      </c>
      <c r="I40" t="s">
        <v>356</v>
      </c>
      <c r="J40" s="17">
        <v>5.1000000000000004E-3</v>
      </c>
      <c r="K40">
        <v>225.78</v>
      </c>
      <c r="L40">
        <v>156.94</v>
      </c>
    </row>
    <row r="41" spans="6:12" x14ac:dyDescent="0.3">
      <c r="G41" t="s">
        <v>8</v>
      </c>
      <c r="H41" t="s">
        <v>317</v>
      </c>
    </row>
    <row r="42" spans="6:12" x14ac:dyDescent="0.3">
      <c r="F42" t="s">
        <v>127</v>
      </c>
      <c r="G42" s="16">
        <v>46120</v>
      </c>
      <c r="H42">
        <v>505.12</v>
      </c>
      <c r="I42" t="s">
        <v>357</v>
      </c>
      <c r="J42" s="17">
        <v>4.1000000000000003E-3</v>
      </c>
      <c r="K42">
        <v>556.52</v>
      </c>
      <c r="L42">
        <v>314.43</v>
      </c>
    </row>
    <row r="43" spans="6:12" x14ac:dyDescent="0.3">
      <c r="G43" t="s">
        <v>8</v>
      </c>
      <c r="H43" t="s">
        <v>317</v>
      </c>
    </row>
    <row r="44" spans="6:12" x14ac:dyDescent="0.3">
      <c r="F44" t="s">
        <v>101</v>
      </c>
      <c r="G44" s="16">
        <v>46120</v>
      </c>
      <c r="H44">
        <v>232.47</v>
      </c>
      <c r="I44" t="s">
        <v>358</v>
      </c>
      <c r="J44" s="17">
        <v>1.54E-2</v>
      </c>
      <c r="K44">
        <v>248.18</v>
      </c>
      <c r="L44">
        <v>168.99</v>
      </c>
    </row>
    <row r="45" spans="6:12" x14ac:dyDescent="0.3">
      <c r="G45" t="s">
        <v>8</v>
      </c>
      <c r="H45" t="s">
        <v>317</v>
      </c>
    </row>
    <row r="46" spans="6:12" x14ac:dyDescent="0.3">
      <c r="F46" t="s">
        <v>100</v>
      </c>
      <c r="G46" s="16">
        <v>46120</v>
      </c>
      <c r="H46">
        <v>678.99</v>
      </c>
      <c r="I46" t="s">
        <v>359</v>
      </c>
      <c r="J46" s="17">
        <v>5.8999999999999999E-3</v>
      </c>
      <c r="K46">
        <v>700.96</v>
      </c>
      <c r="L46">
        <v>510.91</v>
      </c>
    </row>
    <row r="47" spans="6:12" x14ac:dyDescent="0.3">
      <c r="G47" t="s">
        <v>8</v>
      </c>
      <c r="H47" t="s">
        <v>317</v>
      </c>
    </row>
    <row r="48" spans="6:12" x14ac:dyDescent="0.3">
      <c r="F48" t="s">
        <v>130</v>
      </c>
      <c r="G48" s="16">
        <v>46120</v>
      </c>
      <c r="H48">
        <v>307.97000000000003</v>
      </c>
      <c r="I48" t="s">
        <v>360</v>
      </c>
      <c r="J48" s="17">
        <v>7.7000000000000002E-3</v>
      </c>
      <c r="K48">
        <v>337.25</v>
      </c>
      <c r="L48">
        <v>220.1</v>
      </c>
    </row>
    <row r="49" spans="6:12" x14ac:dyDescent="0.3">
      <c r="G49" t="s">
        <v>8</v>
      </c>
      <c r="H49" t="s">
        <v>317</v>
      </c>
    </row>
    <row r="50" spans="6:12" x14ac:dyDescent="0.3">
      <c r="F50" t="s">
        <v>87</v>
      </c>
      <c r="G50" s="16">
        <v>46120</v>
      </c>
      <c r="H50">
        <v>60.23</v>
      </c>
      <c r="I50" t="s">
        <v>361</v>
      </c>
      <c r="J50" s="17">
        <v>2.5000000000000001E-3</v>
      </c>
      <c r="K50">
        <v>61.48</v>
      </c>
      <c r="L50">
        <v>30.06</v>
      </c>
    </row>
    <row r="51" spans="6:12" x14ac:dyDescent="0.3">
      <c r="G51" t="s">
        <v>8</v>
      </c>
      <c r="H51" t="s">
        <v>317</v>
      </c>
    </row>
    <row r="52" spans="6:12" x14ac:dyDescent="0.3">
      <c r="F52" t="s">
        <v>115</v>
      </c>
      <c r="G52" s="16">
        <v>46120</v>
      </c>
      <c r="H52">
        <v>500.48</v>
      </c>
      <c r="I52" t="s">
        <v>362</v>
      </c>
      <c r="J52" s="17">
        <v>5.5999999999999999E-3</v>
      </c>
      <c r="K52">
        <v>510.65</v>
      </c>
      <c r="L52">
        <v>387.78</v>
      </c>
    </row>
    <row r="53" spans="6:12" x14ac:dyDescent="0.3">
      <c r="G53" t="s">
        <v>8</v>
      </c>
      <c r="H53" t="s">
        <v>317</v>
      </c>
    </row>
    <row r="54" spans="6:12" x14ac:dyDescent="0.3">
      <c r="F54" t="s">
        <v>104</v>
      </c>
      <c r="G54" s="16">
        <v>46120</v>
      </c>
      <c r="H54">
        <v>953.3</v>
      </c>
      <c r="I54" t="s">
        <v>363</v>
      </c>
      <c r="J54" s="17">
        <v>2E-3</v>
      </c>
      <c r="K54">
        <v>1133.95</v>
      </c>
      <c r="L54">
        <v>623.78</v>
      </c>
    </row>
    <row r="55" spans="6:12" x14ac:dyDescent="0.3">
      <c r="G55" t="s">
        <v>8</v>
      </c>
      <c r="H55" t="s">
        <v>317</v>
      </c>
    </row>
    <row r="56" spans="6:12" x14ac:dyDescent="0.3">
      <c r="F56" t="s">
        <v>123</v>
      </c>
      <c r="G56" s="16">
        <v>46120</v>
      </c>
      <c r="H56">
        <v>158.86000000000001</v>
      </c>
      <c r="I56" t="s">
        <v>364</v>
      </c>
      <c r="J56" s="17">
        <v>4.82E-2</v>
      </c>
      <c r="K56">
        <v>340.25</v>
      </c>
      <c r="L56">
        <v>143.96</v>
      </c>
    </row>
    <row r="57" spans="6:12" x14ac:dyDescent="0.3">
      <c r="G57" t="s">
        <v>8</v>
      </c>
      <c r="H57" t="s">
        <v>317</v>
      </c>
    </row>
    <row r="58" spans="6:12" x14ac:dyDescent="0.3">
      <c r="F58" t="s">
        <v>108</v>
      </c>
      <c r="G58" s="16">
        <v>46120</v>
      </c>
      <c r="H58">
        <v>507.12</v>
      </c>
      <c r="I58" t="s">
        <v>365</v>
      </c>
      <c r="J58" s="17">
        <v>-5.3E-3</v>
      </c>
      <c r="K58">
        <v>601.77</v>
      </c>
      <c r="L58">
        <v>480.5</v>
      </c>
    </row>
    <row r="59" spans="6:12" x14ac:dyDescent="0.3">
      <c r="G59" t="s">
        <v>8</v>
      </c>
      <c r="H59" t="s">
        <v>317</v>
      </c>
    </row>
    <row r="60" spans="6:12" x14ac:dyDescent="0.3">
      <c r="F60" t="s">
        <v>93</v>
      </c>
      <c r="G60" s="16">
        <v>46120</v>
      </c>
      <c r="H60">
        <v>6.99</v>
      </c>
      <c r="I60" t="s">
        <v>366</v>
      </c>
      <c r="J60" s="17">
        <v>0</v>
      </c>
      <c r="K60">
        <v>7.98</v>
      </c>
      <c r="L60">
        <v>4.6100000000000003</v>
      </c>
    </row>
    <row r="61" spans="6:12" x14ac:dyDescent="0.3">
      <c r="G61" t="s">
        <v>8</v>
      </c>
      <c r="H61" t="s">
        <v>317</v>
      </c>
    </row>
    <row r="62" spans="6:12" x14ac:dyDescent="0.3">
      <c r="F62" t="s">
        <v>80</v>
      </c>
      <c r="G62" s="16">
        <v>46120</v>
      </c>
      <c r="H62">
        <v>612.41999999999996</v>
      </c>
      <c r="I62" t="s">
        <v>367</v>
      </c>
      <c r="J62" s="17">
        <v>2.6100000000000002E-2</v>
      </c>
      <c r="K62">
        <v>796.25</v>
      </c>
      <c r="L62">
        <v>479.8</v>
      </c>
    </row>
    <row r="63" spans="6:12" x14ac:dyDescent="0.3">
      <c r="G63" t="s">
        <v>8</v>
      </c>
      <c r="H63" t="s">
        <v>317</v>
      </c>
    </row>
    <row r="64" spans="6:12" x14ac:dyDescent="0.3">
      <c r="F64" t="s">
        <v>94</v>
      </c>
      <c r="G64" s="16">
        <v>46120</v>
      </c>
      <c r="H64">
        <v>374.33</v>
      </c>
      <c r="I64" t="s">
        <v>368</v>
      </c>
      <c r="J64" s="17">
        <v>-3.3999999999999998E-3</v>
      </c>
      <c r="K64">
        <v>555.45000000000005</v>
      </c>
      <c r="L64">
        <v>355.67</v>
      </c>
    </row>
    <row r="65" spans="6:12" x14ac:dyDescent="0.3">
      <c r="G65" t="s">
        <v>8</v>
      </c>
      <c r="H65" t="s">
        <v>317</v>
      </c>
    </row>
    <row r="66" spans="6:12" x14ac:dyDescent="0.3">
      <c r="F66" t="s">
        <v>128</v>
      </c>
      <c r="G66" s="16">
        <v>46120</v>
      </c>
      <c r="H66">
        <v>94.17</v>
      </c>
      <c r="I66" t="s">
        <v>369</v>
      </c>
      <c r="J66" s="17">
        <v>3.3E-3</v>
      </c>
      <c r="K66">
        <v>96.21</v>
      </c>
      <c r="L66">
        <v>63.64</v>
      </c>
    </row>
    <row r="67" spans="6:12" x14ac:dyDescent="0.3">
      <c r="G67" t="s">
        <v>8</v>
      </c>
      <c r="H67" t="s">
        <v>317</v>
      </c>
    </row>
    <row r="68" spans="6:12" x14ac:dyDescent="0.3">
      <c r="F68" t="s">
        <v>113</v>
      </c>
      <c r="G68" s="16">
        <v>46120</v>
      </c>
      <c r="H68">
        <v>95.58</v>
      </c>
      <c r="I68" t="s">
        <v>370</v>
      </c>
      <c r="J68" s="17">
        <v>-5.7999999999999996E-3</v>
      </c>
      <c r="K68">
        <v>97.06</v>
      </c>
      <c r="L68">
        <v>72.47</v>
      </c>
    </row>
    <row r="69" spans="6:12" x14ac:dyDescent="0.3">
      <c r="G69" t="s">
        <v>8</v>
      </c>
      <c r="H69" t="s">
        <v>317</v>
      </c>
    </row>
    <row r="70" spans="6:12" x14ac:dyDescent="0.3">
      <c r="F70" t="s">
        <v>150</v>
      </c>
      <c r="G70" s="16">
        <v>46120</v>
      </c>
      <c r="H70">
        <v>99.39</v>
      </c>
      <c r="I70" t="s">
        <v>371</v>
      </c>
      <c r="J70" s="17">
        <v>2.7199999999999998E-2</v>
      </c>
      <c r="K70">
        <v>134.12</v>
      </c>
      <c r="L70">
        <v>75.010000000000005</v>
      </c>
    </row>
    <row r="71" spans="6:12" x14ac:dyDescent="0.3">
      <c r="G71" t="s">
        <v>8</v>
      </c>
      <c r="H71" t="s">
        <v>317</v>
      </c>
    </row>
    <row r="72" spans="6:12" x14ac:dyDescent="0.3">
      <c r="F72" t="s">
        <v>134</v>
      </c>
      <c r="G72" s="16">
        <v>46120</v>
      </c>
      <c r="H72">
        <v>182.08</v>
      </c>
      <c r="I72" t="s">
        <v>372</v>
      </c>
      <c r="J72" s="17">
        <v>1.0200000000000001E-2</v>
      </c>
      <c r="K72">
        <v>212.19</v>
      </c>
      <c r="L72">
        <v>95.04</v>
      </c>
    </row>
    <row r="73" spans="6:12" x14ac:dyDescent="0.3">
      <c r="G73" t="s">
        <v>8</v>
      </c>
      <c r="H73" t="s">
        <v>317</v>
      </c>
    </row>
    <row r="74" spans="6:12" x14ac:dyDescent="0.3">
      <c r="F74" t="s">
        <v>126</v>
      </c>
      <c r="G74" s="16">
        <v>46120</v>
      </c>
      <c r="H74">
        <v>330.15</v>
      </c>
      <c r="I74" t="s">
        <v>373</v>
      </c>
      <c r="J74" s="17">
        <v>8.0999999999999996E-3</v>
      </c>
      <c r="K74">
        <v>349.08</v>
      </c>
      <c r="L74">
        <v>245.57</v>
      </c>
    </row>
    <row r="75" spans="6:12" x14ac:dyDescent="0.3">
      <c r="G75" t="s">
        <v>8</v>
      </c>
      <c r="H75" t="s">
        <v>317</v>
      </c>
    </row>
    <row r="76" spans="6:12" x14ac:dyDescent="0.3">
      <c r="F76" t="s">
        <v>81</v>
      </c>
      <c r="G76" s="16">
        <v>46120</v>
      </c>
      <c r="H76">
        <v>154.80000000000001</v>
      </c>
      <c r="I76" t="s">
        <v>374</v>
      </c>
      <c r="J76" s="17">
        <v>1.7399999999999999E-2</v>
      </c>
      <c r="K76">
        <v>171.48</v>
      </c>
      <c r="L76">
        <v>127.6</v>
      </c>
    </row>
    <row r="77" spans="6:12" x14ac:dyDescent="0.3">
      <c r="G77" t="s">
        <v>8</v>
      </c>
      <c r="H77" t="s">
        <v>317</v>
      </c>
    </row>
    <row r="78" spans="6:12" x14ac:dyDescent="0.3">
      <c r="F78" t="s">
        <v>82</v>
      </c>
      <c r="G78" s="16">
        <v>46120</v>
      </c>
      <c r="H78">
        <v>144.9</v>
      </c>
      <c r="I78" t="s">
        <v>375</v>
      </c>
      <c r="J78" s="17">
        <v>1.21E-2</v>
      </c>
      <c r="K78">
        <v>171.65</v>
      </c>
      <c r="L78">
        <v>137.62</v>
      </c>
    </row>
    <row r="79" spans="6:12" x14ac:dyDescent="0.3">
      <c r="G79" t="s">
        <v>8</v>
      </c>
      <c r="H79" t="s">
        <v>317</v>
      </c>
    </row>
    <row r="80" spans="6:12" x14ac:dyDescent="0.3">
      <c r="F80" t="s">
        <v>86</v>
      </c>
      <c r="G80" s="16">
        <v>46120</v>
      </c>
      <c r="H80">
        <v>140.76</v>
      </c>
      <c r="I80" t="s">
        <v>376</v>
      </c>
      <c r="J80" s="17">
        <v>-7.2599999999999998E-2</v>
      </c>
      <c r="K80">
        <v>207.52</v>
      </c>
      <c r="L80">
        <v>84.14</v>
      </c>
    </row>
    <row r="81" spans="6:12" x14ac:dyDescent="0.3">
      <c r="G81" t="s">
        <v>8</v>
      </c>
      <c r="H81" t="s">
        <v>317</v>
      </c>
    </row>
    <row r="82" spans="6:12" x14ac:dyDescent="0.3">
      <c r="F82" t="s">
        <v>135</v>
      </c>
      <c r="G82" s="16">
        <v>46120</v>
      </c>
      <c r="H82">
        <v>160.94</v>
      </c>
      <c r="I82" t="s">
        <v>377</v>
      </c>
      <c r="J82" s="17">
        <v>1.9E-3</v>
      </c>
      <c r="K82">
        <v>191.3</v>
      </c>
      <c r="L82">
        <v>142.11000000000001</v>
      </c>
    </row>
    <row r="83" spans="6:12" x14ac:dyDescent="0.3">
      <c r="G83" t="s">
        <v>8</v>
      </c>
      <c r="H83" t="s">
        <v>317</v>
      </c>
    </row>
    <row r="84" spans="6:12" x14ac:dyDescent="0.3">
      <c r="F84" t="s">
        <v>137</v>
      </c>
      <c r="G84" s="16">
        <v>46120</v>
      </c>
      <c r="H84">
        <v>83.35</v>
      </c>
      <c r="I84" t="s">
        <v>378</v>
      </c>
      <c r="J84" s="17">
        <v>-6.4999999999999997E-3</v>
      </c>
      <c r="K84">
        <v>84.44</v>
      </c>
      <c r="L84">
        <v>40.43</v>
      </c>
    </row>
    <row r="85" spans="6:12" x14ac:dyDescent="0.3">
      <c r="G85" t="s">
        <v>8</v>
      </c>
      <c r="H85" t="s">
        <v>317</v>
      </c>
    </row>
    <row r="86" spans="6:12" x14ac:dyDescent="0.3">
      <c r="F86" t="s">
        <v>132</v>
      </c>
      <c r="G86" s="16">
        <v>46120</v>
      </c>
      <c r="H86">
        <v>343.25</v>
      </c>
      <c r="I86" t="s">
        <v>379</v>
      </c>
      <c r="J86" s="17">
        <v>6.7999999999999996E-3</v>
      </c>
      <c r="K86">
        <v>498.83</v>
      </c>
      <c r="L86">
        <v>222.79</v>
      </c>
    </row>
    <row r="87" spans="6:12" x14ac:dyDescent="0.3">
      <c r="G87" t="s">
        <v>8</v>
      </c>
      <c r="H87" t="s">
        <v>317</v>
      </c>
    </row>
    <row r="88" spans="6:12" x14ac:dyDescent="0.3">
      <c r="F88" t="s">
        <v>145</v>
      </c>
      <c r="G88" s="16">
        <v>46120</v>
      </c>
      <c r="H88">
        <v>308.95999999999998</v>
      </c>
      <c r="I88" t="s">
        <v>380</v>
      </c>
      <c r="J88" s="17">
        <v>-2.2000000000000001E-3</v>
      </c>
      <c r="K88">
        <v>375.51</v>
      </c>
      <c r="L88">
        <v>293.89</v>
      </c>
    </row>
    <row r="89" spans="6:12" x14ac:dyDescent="0.3">
      <c r="G89" t="s">
        <v>8</v>
      </c>
      <c r="H89" t="s">
        <v>317</v>
      </c>
    </row>
    <row r="90" spans="6:12" x14ac:dyDescent="0.3">
      <c r="F90" t="s">
        <v>110</v>
      </c>
      <c r="G90" s="16">
        <v>46120</v>
      </c>
      <c r="H90">
        <v>292.58</v>
      </c>
      <c r="I90" t="s">
        <v>381</v>
      </c>
      <c r="J90" s="17">
        <v>1.5E-3</v>
      </c>
      <c r="K90">
        <v>331.09</v>
      </c>
      <c r="L90">
        <v>229.3</v>
      </c>
    </row>
    <row r="91" spans="6:12" x14ac:dyDescent="0.3">
      <c r="G91" t="s">
        <v>8</v>
      </c>
      <c r="H91" t="s">
        <v>317</v>
      </c>
    </row>
    <row r="92" spans="6:12" x14ac:dyDescent="0.3">
      <c r="F92" t="s">
        <v>141</v>
      </c>
      <c r="G92" s="16">
        <v>46120</v>
      </c>
      <c r="H92">
        <v>281.02999999999997</v>
      </c>
      <c r="I92" t="s">
        <v>382</v>
      </c>
      <c r="J92" s="17">
        <v>2.35E-2</v>
      </c>
      <c r="K92">
        <v>291</v>
      </c>
      <c r="L92">
        <v>65.680000000000007</v>
      </c>
    </row>
    <row r="93" spans="6:12" x14ac:dyDescent="0.3">
      <c r="G93" t="s">
        <v>8</v>
      </c>
      <c r="H93" t="s">
        <v>317</v>
      </c>
    </row>
    <row r="94" spans="6:12" x14ac:dyDescent="0.3">
      <c r="F94" t="s">
        <v>99</v>
      </c>
      <c r="G94" s="16">
        <v>46120</v>
      </c>
      <c r="H94">
        <v>127.26</v>
      </c>
      <c r="I94" t="s">
        <v>383</v>
      </c>
      <c r="J94" s="17">
        <v>1.47E-2</v>
      </c>
      <c r="K94">
        <v>134.69</v>
      </c>
      <c r="L94">
        <v>88.16</v>
      </c>
    </row>
    <row r="95" spans="6:12" x14ac:dyDescent="0.3">
      <c r="G95" t="s">
        <v>8</v>
      </c>
      <c r="H95" t="s">
        <v>317</v>
      </c>
    </row>
    <row r="96" spans="6:12" x14ac:dyDescent="0.3">
      <c r="F96" t="s">
        <v>91</v>
      </c>
      <c r="G96" s="16">
        <v>46120</v>
      </c>
      <c r="H96">
        <v>51.75</v>
      </c>
      <c r="I96" t="s">
        <v>384</v>
      </c>
      <c r="J96" s="17">
        <v>-1.5E-3</v>
      </c>
      <c r="K96">
        <v>54.14</v>
      </c>
      <c r="L96">
        <v>36.880000000000003</v>
      </c>
    </row>
    <row r="97" spans="6:12" x14ac:dyDescent="0.3">
      <c r="G97" t="s">
        <v>8</v>
      </c>
      <c r="H97" t="s">
        <v>317</v>
      </c>
    </row>
    <row r="98" spans="6:12" x14ac:dyDescent="0.3">
      <c r="F98" t="s">
        <v>146</v>
      </c>
      <c r="G98" s="16">
        <v>46120</v>
      </c>
      <c r="H98">
        <v>113.81</v>
      </c>
      <c r="I98" t="s">
        <v>385</v>
      </c>
      <c r="J98" s="17">
        <v>4.0000000000000001E-3</v>
      </c>
      <c r="K98">
        <v>120.39</v>
      </c>
      <c r="L98">
        <v>87.49</v>
      </c>
    </row>
    <row r="99" spans="6:12" x14ac:dyDescent="0.3">
      <c r="G99" t="s">
        <v>8</v>
      </c>
      <c r="H99" t="s">
        <v>317</v>
      </c>
    </row>
    <row r="100" spans="6:12" x14ac:dyDescent="0.3">
      <c r="F100" t="s">
        <v>97</v>
      </c>
      <c r="G100" s="16">
        <v>46120</v>
      </c>
      <c r="H100">
        <v>58.05</v>
      </c>
      <c r="I100" t="s">
        <v>386</v>
      </c>
      <c r="J100" s="17">
        <v>-1.24E-2</v>
      </c>
      <c r="K100">
        <v>63.46</v>
      </c>
      <c r="L100">
        <v>37.24</v>
      </c>
    </row>
    <row r="101" spans="6:12" x14ac:dyDescent="0.3">
      <c r="G101" t="s">
        <v>8</v>
      </c>
      <c r="H101" t="s">
        <v>317</v>
      </c>
    </row>
    <row r="102" spans="6:12" x14ac:dyDescent="0.3">
      <c r="F102" t="s">
        <v>138</v>
      </c>
      <c r="G102" s="16">
        <v>46120</v>
      </c>
      <c r="H102">
        <v>51.2</v>
      </c>
      <c r="I102" t="s">
        <v>387</v>
      </c>
      <c r="J102" s="17">
        <v>2.5000000000000001E-3</v>
      </c>
      <c r="K102">
        <v>56.51</v>
      </c>
      <c r="L102">
        <v>44.55</v>
      </c>
    </row>
    <row r="103" spans="6:12" x14ac:dyDescent="0.3">
      <c r="G103" t="s">
        <v>8</v>
      </c>
      <c r="H103" t="s">
        <v>317</v>
      </c>
    </row>
    <row r="104" spans="6:12" x14ac:dyDescent="0.3">
      <c r="F104" t="s">
        <v>149</v>
      </c>
      <c r="G104" s="16">
        <v>46120</v>
      </c>
      <c r="H104">
        <v>56.41</v>
      </c>
      <c r="I104" t="s">
        <v>388</v>
      </c>
      <c r="J104" s="17">
        <v>7.6E-3</v>
      </c>
      <c r="K104">
        <v>60.63</v>
      </c>
      <c r="L104">
        <v>41.66</v>
      </c>
    </row>
    <row r="105" spans="6:12" x14ac:dyDescent="0.3">
      <c r="G105" t="s">
        <v>8</v>
      </c>
      <c r="H105" t="s">
        <v>317</v>
      </c>
    </row>
    <row r="106" spans="6:12" x14ac:dyDescent="0.3">
      <c r="F106" t="s">
        <v>98</v>
      </c>
      <c r="G106" s="16">
        <v>46120</v>
      </c>
      <c r="H106">
        <v>170.44</v>
      </c>
      <c r="I106" t="s">
        <v>389</v>
      </c>
      <c r="J106" s="17">
        <v>1.03E-2</v>
      </c>
      <c r="K106">
        <v>179.31</v>
      </c>
      <c r="L106">
        <v>119.91</v>
      </c>
    </row>
    <row r="107" spans="6:12" x14ac:dyDescent="0.3">
      <c r="G107" t="s">
        <v>8</v>
      </c>
      <c r="H107" t="s">
        <v>317</v>
      </c>
    </row>
    <row r="108" spans="6:12" x14ac:dyDescent="0.3">
      <c r="F108" t="s">
        <v>88</v>
      </c>
      <c r="G108" s="16">
        <v>46120</v>
      </c>
      <c r="H108">
        <v>141.69</v>
      </c>
      <c r="I108" t="s">
        <v>390</v>
      </c>
      <c r="J108" s="17">
        <v>2.7000000000000001E-3</v>
      </c>
      <c r="K108">
        <v>152.99</v>
      </c>
      <c r="L108">
        <v>89.94</v>
      </c>
    </row>
    <row r="109" spans="6:12" x14ac:dyDescent="0.3">
      <c r="G109" t="s">
        <v>8</v>
      </c>
      <c r="H109" t="s">
        <v>317</v>
      </c>
    </row>
    <row r="110" spans="6:12" x14ac:dyDescent="0.3">
      <c r="F110" t="s">
        <v>89</v>
      </c>
      <c r="G110" s="16">
        <v>46120</v>
      </c>
      <c r="H110">
        <v>82.78</v>
      </c>
      <c r="I110" t="s">
        <v>391</v>
      </c>
      <c r="J110" s="17">
        <v>8.0999999999999996E-3</v>
      </c>
      <c r="K110">
        <v>90.14</v>
      </c>
      <c r="L110">
        <v>75.16</v>
      </c>
    </row>
    <row r="111" spans="6:12" x14ac:dyDescent="0.3">
      <c r="G111" t="s">
        <v>8</v>
      </c>
      <c r="H111" t="s">
        <v>317</v>
      </c>
    </row>
    <row r="112" spans="6:12" x14ac:dyDescent="0.3">
      <c r="F112" t="s">
        <v>120</v>
      </c>
      <c r="G112" s="16">
        <v>46120</v>
      </c>
      <c r="H112">
        <v>42.44</v>
      </c>
      <c r="I112" t="s">
        <v>392</v>
      </c>
      <c r="J112" s="17">
        <v>6.7999999999999996E-3</v>
      </c>
      <c r="K112">
        <v>44.07</v>
      </c>
      <c r="L112">
        <v>37.43</v>
      </c>
    </row>
    <row r="113" spans="6:12" x14ac:dyDescent="0.3">
      <c r="G113" t="s">
        <v>8</v>
      </c>
      <c r="H113" t="s">
        <v>317</v>
      </c>
    </row>
    <row r="114" spans="6:12" x14ac:dyDescent="0.3">
      <c r="F114" t="s">
        <v>84</v>
      </c>
      <c r="G114" s="16">
        <v>46120</v>
      </c>
      <c r="H114">
        <v>46.78</v>
      </c>
      <c r="I114" t="s">
        <v>393</v>
      </c>
      <c r="J114" s="17">
        <v>7.9000000000000008E-3</v>
      </c>
      <c r="K114">
        <v>47.8</v>
      </c>
      <c r="L114">
        <v>35.51</v>
      </c>
    </row>
    <row r="115" spans="6:12" x14ac:dyDescent="0.3">
      <c r="G115" t="s">
        <v>8</v>
      </c>
      <c r="H115" t="s">
        <v>317</v>
      </c>
    </row>
    <row r="116" spans="6:12" x14ac:dyDescent="0.3">
      <c r="F116" t="s">
        <v>116</v>
      </c>
      <c r="G116" s="16">
        <v>46120</v>
      </c>
      <c r="H116">
        <v>149.66999999999999</v>
      </c>
      <c r="I116" t="s">
        <v>394</v>
      </c>
      <c r="J116" s="17">
        <v>-2.3E-3</v>
      </c>
      <c r="K116">
        <v>160.59</v>
      </c>
      <c r="L116">
        <v>127.35</v>
      </c>
    </row>
    <row r="117" spans="6:12" x14ac:dyDescent="0.3">
      <c r="G117" t="s">
        <v>8</v>
      </c>
      <c r="H117" t="s">
        <v>317</v>
      </c>
    </row>
    <row r="118" spans="6:12" x14ac:dyDescent="0.3">
      <c r="F118" t="s">
        <v>119</v>
      </c>
      <c r="G118" s="16">
        <v>46120</v>
      </c>
      <c r="H118">
        <v>110.82</v>
      </c>
      <c r="I118" t="s">
        <v>395</v>
      </c>
      <c r="J118" s="17">
        <v>1.7299999999999999E-2</v>
      </c>
      <c r="K118">
        <v>125.01</v>
      </c>
      <c r="L118">
        <v>87.95</v>
      </c>
    </row>
    <row r="119" spans="6:12" x14ac:dyDescent="0.3">
      <c r="G119" t="s">
        <v>8</v>
      </c>
      <c r="H119" t="s">
        <v>317</v>
      </c>
    </row>
    <row r="120" spans="6:12" x14ac:dyDescent="0.3">
      <c r="F120" t="s">
        <v>85</v>
      </c>
      <c r="G120" s="16">
        <v>46120</v>
      </c>
      <c r="H120">
        <v>156.22</v>
      </c>
      <c r="I120" t="s">
        <v>396</v>
      </c>
      <c r="J120" s="17">
        <v>-7.6E-3</v>
      </c>
      <c r="K120">
        <v>176.41</v>
      </c>
      <c r="L120">
        <v>97.8</v>
      </c>
    </row>
    <row r="121" spans="6:12" x14ac:dyDescent="0.3">
      <c r="G121" t="s">
        <v>8</v>
      </c>
      <c r="H121" t="s">
        <v>317</v>
      </c>
    </row>
    <row r="122" spans="6:12" x14ac:dyDescent="0.3">
      <c r="F122" t="s">
        <v>397</v>
      </c>
      <c r="G122" s="16">
        <v>46120</v>
      </c>
      <c r="H122">
        <v>99.43</v>
      </c>
      <c r="I122" t="s">
        <v>398</v>
      </c>
      <c r="J122" s="17">
        <v>5.9999999999999995E-4</v>
      </c>
      <c r="K122">
        <v>101.46</v>
      </c>
      <c r="L122">
        <v>96.15</v>
      </c>
    </row>
    <row r="123" spans="6:12" x14ac:dyDescent="0.3">
      <c r="G123" t="s">
        <v>8</v>
      </c>
      <c r="H123" t="s">
        <v>317</v>
      </c>
    </row>
    <row r="124" spans="6:12" x14ac:dyDescent="0.3">
      <c r="F124" t="s">
        <v>399</v>
      </c>
      <c r="G124" s="16">
        <v>46120</v>
      </c>
      <c r="H124">
        <v>434.53</v>
      </c>
      <c r="I124" t="s">
        <v>400</v>
      </c>
      <c r="J124" s="17">
        <v>7.7999999999999996E-3</v>
      </c>
      <c r="K124">
        <v>514.16999999999996</v>
      </c>
      <c r="L124">
        <v>287.25</v>
      </c>
    </row>
    <row r="125" spans="6:12" x14ac:dyDescent="0.3">
      <c r="G125" t="s">
        <v>8</v>
      </c>
      <c r="H125" t="s">
        <v>317</v>
      </c>
    </row>
    <row r="126" spans="6:12" x14ac:dyDescent="0.3">
      <c r="F126" t="s">
        <v>401</v>
      </c>
      <c r="G126" s="16">
        <v>46120</v>
      </c>
      <c r="H126">
        <v>70.53</v>
      </c>
      <c r="I126" t="s">
        <v>402</v>
      </c>
      <c r="J126" s="17">
        <v>2E-3</v>
      </c>
      <c r="K126">
        <v>72.56</v>
      </c>
      <c r="L126">
        <v>52.22</v>
      </c>
    </row>
    <row r="127" spans="6:12" x14ac:dyDescent="0.3">
      <c r="G127" t="s">
        <v>8</v>
      </c>
      <c r="H127" t="s">
        <v>317</v>
      </c>
    </row>
    <row r="128" spans="6:12" x14ac:dyDescent="0.3">
      <c r="F128" t="s">
        <v>403</v>
      </c>
      <c r="G128" s="16">
        <v>46120</v>
      </c>
      <c r="H128">
        <v>129.83000000000001</v>
      </c>
      <c r="I128" t="s">
        <v>404</v>
      </c>
      <c r="J128" s="17">
        <v>7.1000000000000004E-3</v>
      </c>
      <c r="K128">
        <v>133.52000000000001</v>
      </c>
      <c r="L128">
        <v>91.87</v>
      </c>
    </row>
    <row r="129" spans="6:12" x14ac:dyDescent="0.3">
      <c r="G129" t="s">
        <v>8</v>
      </c>
      <c r="H129" t="s">
        <v>317</v>
      </c>
    </row>
    <row r="130" spans="6:12" x14ac:dyDescent="0.3">
      <c r="F130" t="s">
        <v>405</v>
      </c>
      <c r="G130" s="16">
        <v>46120</v>
      </c>
      <c r="H130">
        <v>100.45</v>
      </c>
      <c r="I130" t="s">
        <v>406</v>
      </c>
      <c r="J130" s="17">
        <v>1E-4</v>
      </c>
      <c r="K130">
        <v>100.74</v>
      </c>
      <c r="L130">
        <v>100.27</v>
      </c>
    </row>
    <row r="131" spans="6:12" x14ac:dyDescent="0.3">
      <c r="G131" t="s">
        <v>8</v>
      </c>
      <c r="H131" t="s">
        <v>317</v>
      </c>
    </row>
    <row r="132" spans="6:12" x14ac:dyDescent="0.3">
      <c r="F132" t="s">
        <v>407</v>
      </c>
      <c r="G132" s="16">
        <v>46120</v>
      </c>
      <c r="H132">
        <v>86.92</v>
      </c>
      <c r="I132" t="s">
        <v>408</v>
      </c>
      <c r="J132" s="17">
        <v>-2.5000000000000001E-3</v>
      </c>
      <c r="K132">
        <v>92.19</v>
      </c>
      <c r="L132">
        <v>83.3</v>
      </c>
    </row>
    <row r="133" spans="6:12" x14ac:dyDescent="0.3">
      <c r="G133" t="s">
        <v>8</v>
      </c>
      <c r="H133" t="s">
        <v>317</v>
      </c>
    </row>
    <row r="134" spans="6:12" x14ac:dyDescent="0.3">
      <c r="F134" t="s">
        <v>409</v>
      </c>
      <c r="G134" s="16">
        <v>46120</v>
      </c>
      <c r="H134">
        <v>51.38</v>
      </c>
      <c r="I134" t="s">
        <v>410</v>
      </c>
      <c r="J134" s="17">
        <v>4.0000000000000002E-4</v>
      </c>
      <c r="K134">
        <v>52.72</v>
      </c>
      <c r="L134">
        <v>49.1</v>
      </c>
    </row>
    <row r="135" spans="6:12" x14ac:dyDescent="0.3">
      <c r="G135" t="s">
        <v>8</v>
      </c>
      <c r="H135" t="s">
        <v>317</v>
      </c>
    </row>
    <row r="136" spans="6:12" x14ac:dyDescent="0.3">
      <c r="F136" t="s">
        <v>411</v>
      </c>
      <c r="G136" s="16">
        <v>46120</v>
      </c>
      <c r="H136">
        <v>79.209999999999994</v>
      </c>
      <c r="I136" t="s">
        <v>412</v>
      </c>
      <c r="J136" s="17">
        <v>-2.5000000000000001E-3</v>
      </c>
      <c r="K136">
        <v>82.33</v>
      </c>
      <c r="L136">
        <v>55.93</v>
      </c>
    </row>
    <row r="137" spans="6:12" x14ac:dyDescent="0.3">
      <c r="G137" t="s">
        <v>8</v>
      </c>
      <c r="H137" t="s">
        <v>317</v>
      </c>
    </row>
    <row r="138" spans="6:12" x14ac:dyDescent="0.3">
      <c r="F138" t="s">
        <v>413</v>
      </c>
      <c r="G138" s="16">
        <v>46120</v>
      </c>
      <c r="H138">
        <v>59.49</v>
      </c>
      <c r="I138" t="s">
        <v>414</v>
      </c>
      <c r="J138" s="17">
        <v>2.0000000000000001E-4</v>
      </c>
      <c r="K138">
        <v>60.76</v>
      </c>
      <c r="L138">
        <v>58.42</v>
      </c>
    </row>
    <row r="139" spans="6:12" x14ac:dyDescent="0.3">
      <c r="G139" t="s">
        <v>8</v>
      </c>
      <c r="H139" t="s">
        <v>317</v>
      </c>
    </row>
    <row r="140" spans="6:12" x14ac:dyDescent="0.3">
      <c r="F140" t="s">
        <v>415</v>
      </c>
      <c r="G140" s="16">
        <v>46120</v>
      </c>
      <c r="H140">
        <v>58.43</v>
      </c>
      <c r="I140" t="s">
        <v>416</v>
      </c>
      <c r="J140" s="17">
        <v>2.0000000000000001E-4</v>
      </c>
      <c r="K140">
        <v>59.01</v>
      </c>
      <c r="L140">
        <v>58.31</v>
      </c>
    </row>
    <row r="141" spans="6:12" x14ac:dyDescent="0.3">
      <c r="G141" t="s">
        <v>8</v>
      </c>
      <c r="H141" t="s">
        <v>317</v>
      </c>
    </row>
    <row r="142" spans="6:12" x14ac:dyDescent="0.3">
      <c r="F142" t="s">
        <v>417</v>
      </c>
      <c r="G142" s="16">
        <v>46120</v>
      </c>
      <c r="H142">
        <v>92.12</v>
      </c>
      <c r="I142" t="s">
        <v>418</v>
      </c>
      <c r="J142" s="17">
        <v>7.1999999999999998E-3</v>
      </c>
      <c r="K142">
        <v>96.23</v>
      </c>
      <c r="L142">
        <v>80.510000000000005</v>
      </c>
    </row>
    <row r="143" spans="6:12" x14ac:dyDescent="0.3">
      <c r="G143" t="s">
        <v>8</v>
      </c>
      <c r="H143" t="s">
        <v>317</v>
      </c>
    </row>
    <row r="144" spans="6:12" x14ac:dyDescent="0.3">
      <c r="F144" t="s">
        <v>119</v>
      </c>
      <c r="G144" s="16">
        <v>46120</v>
      </c>
      <c r="H144">
        <v>110.82</v>
      </c>
      <c r="I144" t="s">
        <v>395</v>
      </c>
      <c r="J144" s="17">
        <v>1.7299999999999999E-2</v>
      </c>
      <c r="K144">
        <v>125.01</v>
      </c>
      <c r="L144">
        <v>87.95</v>
      </c>
    </row>
    <row r="145" spans="6:12" x14ac:dyDescent="0.3">
      <c r="G145" t="s">
        <v>8</v>
      </c>
      <c r="H145" t="s">
        <v>317</v>
      </c>
    </row>
    <row r="146" spans="6:12" x14ac:dyDescent="0.3">
      <c r="F146" t="s">
        <v>83</v>
      </c>
      <c r="G146" s="16">
        <v>46120</v>
      </c>
      <c r="H146">
        <v>52.1</v>
      </c>
      <c r="I146" t="s">
        <v>419</v>
      </c>
      <c r="J146" s="17">
        <v>-1.5699999999999999E-2</v>
      </c>
      <c r="K146">
        <v>59.55</v>
      </c>
      <c r="L146">
        <v>22.28</v>
      </c>
    </row>
    <row r="147" spans="6:12" x14ac:dyDescent="0.3">
      <c r="G147" t="s">
        <v>8</v>
      </c>
      <c r="H147" t="s">
        <v>317</v>
      </c>
    </row>
    <row r="148" spans="6:12" x14ac:dyDescent="0.3">
      <c r="F148" t="s">
        <v>90</v>
      </c>
      <c r="G148" s="16">
        <v>46120</v>
      </c>
      <c r="H148">
        <v>22.21</v>
      </c>
      <c r="I148" t="s">
        <v>420</v>
      </c>
      <c r="J148" s="17">
        <v>-3.5999999999999997E-2</v>
      </c>
      <c r="K148">
        <v>23.15</v>
      </c>
      <c r="L148">
        <v>10.88</v>
      </c>
    </row>
    <row r="149" spans="6:12" x14ac:dyDescent="0.3">
      <c r="G149" t="s">
        <v>8</v>
      </c>
      <c r="H149" t="s">
        <v>317</v>
      </c>
    </row>
    <row r="150" spans="6:12" x14ac:dyDescent="0.3">
      <c r="F150" t="s">
        <v>95</v>
      </c>
      <c r="G150" s="16">
        <v>46120</v>
      </c>
      <c r="H150">
        <v>43.13</v>
      </c>
      <c r="I150" t="s">
        <v>421</v>
      </c>
      <c r="J150" s="17">
        <v>2.0199999999999999E-2</v>
      </c>
      <c r="K150">
        <v>80.17</v>
      </c>
      <c r="L150">
        <v>42.36</v>
      </c>
    </row>
    <row r="151" spans="6:12" x14ac:dyDescent="0.3">
      <c r="G151" t="s">
        <v>8</v>
      </c>
      <c r="H151" t="s">
        <v>317</v>
      </c>
    </row>
    <row r="152" spans="6:12" x14ac:dyDescent="0.3">
      <c r="F152" t="s">
        <v>105</v>
      </c>
      <c r="G152" s="16">
        <v>46120</v>
      </c>
      <c r="H152">
        <v>479.75</v>
      </c>
      <c r="I152" t="s">
        <v>345</v>
      </c>
      <c r="J152" s="17">
        <v>1.14E-2</v>
      </c>
      <c r="K152">
        <v>542.07000000000005</v>
      </c>
      <c r="L152">
        <v>455.19</v>
      </c>
    </row>
    <row r="153" spans="6:12" x14ac:dyDescent="0.3">
      <c r="G153" t="s">
        <v>8</v>
      </c>
      <c r="H153" t="s">
        <v>317</v>
      </c>
    </row>
    <row r="154" spans="6:12" x14ac:dyDescent="0.3">
      <c r="F154" t="s">
        <v>107</v>
      </c>
      <c r="G154" s="16">
        <v>46120</v>
      </c>
      <c r="H154">
        <v>33.79</v>
      </c>
      <c r="I154" t="s">
        <v>422</v>
      </c>
      <c r="J154" s="17">
        <v>1.3299999999999999E-2</v>
      </c>
      <c r="K154">
        <v>58.42</v>
      </c>
      <c r="L154">
        <v>29.75</v>
      </c>
    </row>
    <row r="155" spans="6:12" x14ac:dyDescent="0.3">
      <c r="G155" t="s">
        <v>8</v>
      </c>
      <c r="H155" t="s">
        <v>317</v>
      </c>
    </row>
    <row r="156" spans="6:12" x14ac:dyDescent="0.3">
      <c r="F156" t="s">
        <v>109</v>
      </c>
      <c r="G156" s="16">
        <v>46120</v>
      </c>
      <c r="H156">
        <v>13.28</v>
      </c>
      <c r="I156" t="s">
        <v>423</v>
      </c>
      <c r="J156" s="17">
        <v>-1.8100000000000002E-2</v>
      </c>
      <c r="K156">
        <v>19.82</v>
      </c>
      <c r="L156">
        <v>7.63</v>
      </c>
    </row>
    <row r="157" spans="6:12" x14ac:dyDescent="0.3">
      <c r="G157" t="s">
        <v>8</v>
      </c>
      <c r="H157" t="s">
        <v>317</v>
      </c>
    </row>
    <row r="158" spans="6:12" x14ac:dyDescent="0.3">
      <c r="F158" t="s">
        <v>118</v>
      </c>
      <c r="G158" s="16">
        <v>46120</v>
      </c>
      <c r="H158">
        <v>16.489999999999998</v>
      </c>
      <c r="I158" t="s">
        <v>424</v>
      </c>
      <c r="J158" s="17">
        <v>-1.3299999999999999E-2</v>
      </c>
      <c r="K158">
        <v>32.729999999999997</v>
      </c>
      <c r="L158">
        <v>10.07</v>
      </c>
    </row>
    <row r="159" spans="6:12" x14ac:dyDescent="0.3">
      <c r="G159" t="s">
        <v>8</v>
      </c>
      <c r="H159" t="s">
        <v>317</v>
      </c>
    </row>
    <row r="160" spans="6:12" x14ac:dyDescent="0.3">
      <c r="F160" t="s">
        <v>133</v>
      </c>
      <c r="G160" s="16">
        <v>46120</v>
      </c>
      <c r="H160">
        <v>10.16</v>
      </c>
      <c r="I160" t="s">
        <v>425</v>
      </c>
      <c r="J160" s="17">
        <v>-4.6300000000000001E-2</v>
      </c>
      <c r="K160">
        <v>17.39</v>
      </c>
      <c r="L160">
        <v>4.7</v>
      </c>
    </row>
    <row r="161" spans="6:12" x14ac:dyDescent="0.3">
      <c r="G161" t="s">
        <v>8</v>
      </c>
      <c r="H161" t="s">
        <v>317</v>
      </c>
    </row>
    <row r="162" spans="6:12" x14ac:dyDescent="0.3">
      <c r="F162" t="s">
        <v>136</v>
      </c>
      <c r="G162" s="16">
        <v>46120</v>
      </c>
      <c r="H162">
        <v>41.43</v>
      </c>
      <c r="I162" t="s">
        <v>426</v>
      </c>
      <c r="J162" s="17">
        <v>-1.9300000000000001E-2</v>
      </c>
      <c r="K162">
        <v>93.88</v>
      </c>
      <c r="L162">
        <v>39.049999999999997</v>
      </c>
    </row>
    <row r="163" spans="6:12" x14ac:dyDescent="0.3">
      <c r="G163" t="s">
        <v>8</v>
      </c>
      <c r="H163" t="s">
        <v>317</v>
      </c>
    </row>
    <row r="164" spans="6:12" x14ac:dyDescent="0.3">
      <c r="F164" t="s">
        <v>139</v>
      </c>
      <c r="G164" s="16">
        <v>46120</v>
      </c>
      <c r="H164">
        <v>101.54</v>
      </c>
      <c r="I164" t="s">
        <v>427</v>
      </c>
      <c r="J164" s="17">
        <v>1.0200000000000001E-2</v>
      </c>
      <c r="K164">
        <v>118.93</v>
      </c>
      <c r="L164">
        <v>94.13</v>
      </c>
    </row>
    <row r="165" spans="6:12" x14ac:dyDescent="0.3">
      <c r="G165" t="s">
        <v>8</v>
      </c>
      <c r="H165" t="s">
        <v>317</v>
      </c>
    </row>
    <row r="166" spans="6:12" x14ac:dyDescent="0.3">
      <c r="F166" t="s">
        <v>140</v>
      </c>
      <c r="G166" s="16">
        <v>46120</v>
      </c>
      <c r="H166">
        <v>155.88999999999999</v>
      </c>
      <c r="I166" t="s">
        <v>428</v>
      </c>
      <c r="J166" s="17">
        <v>-2.01E-2</v>
      </c>
      <c r="K166">
        <v>219.82</v>
      </c>
      <c r="L166">
        <v>103.34</v>
      </c>
    </row>
    <row r="167" spans="6:12" x14ac:dyDescent="0.3">
      <c r="G167" t="s">
        <v>8</v>
      </c>
      <c r="H167" t="s">
        <v>317</v>
      </c>
    </row>
    <row r="168" spans="6:12" x14ac:dyDescent="0.3">
      <c r="F168" t="s">
        <v>147</v>
      </c>
      <c r="G168" s="16">
        <v>46120</v>
      </c>
      <c r="H168">
        <v>12.6</v>
      </c>
      <c r="I168" t="s">
        <v>429</v>
      </c>
      <c r="J168" s="17">
        <v>1.5900000000000001E-2</v>
      </c>
      <c r="K168">
        <v>20.100000000000001</v>
      </c>
      <c r="L168">
        <v>8.92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F76C-365C-4C28-921F-C5F610535B3E}">
  <dimension ref="A1:P79"/>
  <sheetViews>
    <sheetView workbookViewId="0">
      <selection activeCell="F79" sqref="F79"/>
    </sheetView>
  </sheetViews>
  <sheetFormatPr defaultRowHeight="14.4" x14ac:dyDescent="0.3"/>
  <cols>
    <col min="1" max="1" width="8.77734375" bestFit="1" customWidth="1"/>
    <col min="2" max="2" width="10.109375" bestFit="1" customWidth="1"/>
    <col min="3" max="3" width="15.33203125" bestFit="1" customWidth="1"/>
    <col min="4" max="4" width="15.21875" bestFit="1" customWidth="1"/>
    <col min="5" max="5" width="8.109375" bestFit="1" customWidth="1"/>
    <col min="6" max="6" width="40.88671875" bestFit="1" customWidth="1"/>
    <col min="7" max="7" width="10.33203125" bestFit="1" customWidth="1"/>
    <col min="8" max="8" width="10.109375" bestFit="1" customWidth="1"/>
    <col min="9" max="9" width="11.6640625" bestFit="1" customWidth="1"/>
    <col min="10" max="11" width="10.109375" bestFit="1" customWidth="1"/>
    <col min="12" max="12" width="11.6640625" bestFit="1" customWidth="1"/>
    <col min="14" max="14" width="7.33203125" bestFit="1" customWidth="1"/>
    <col min="15" max="15" width="3.5546875" bestFit="1" customWidth="1"/>
    <col min="16" max="16" width="5" bestFit="1" customWidth="1"/>
  </cols>
  <sheetData>
    <row r="1" spans="1:16" ht="52.8" x14ac:dyDescent="0.3">
      <c r="A1" s="3" t="s">
        <v>151</v>
      </c>
      <c r="B1" s="3" t="s">
        <v>152</v>
      </c>
      <c r="C1" s="3" t="s">
        <v>153</v>
      </c>
      <c r="D1" s="3" t="s">
        <v>154</v>
      </c>
      <c r="E1" s="4" t="s">
        <v>155</v>
      </c>
      <c r="F1" s="3" t="s">
        <v>156</v>
      </c>
      <c r="G1" s="3" t="s">
        <v>157</v>
      </c>
      <c r="H1" s="3" t="s">
        <v>158</v>
      </c>
      <c r="I1" s="4" t="s">
        <v>159</v>
      </c>
      <c r="J1" s="4" t="s">
        <v>160</v>
      </c>
      <c r="K1" s="4" t="s">
        <v>161</v>
      </c>
      <c r="L1" s="4" t="s">
        <v>162</v>
      </c>
    </row>
    <row r="2" spans="1:16" x14ac:dyDescent="0.3">
      <c r="A2" s="5">
        <v>658585</v>
      </c>
      <c r="B2" s="6">
        <v>46026</v>
      </c>
      <c r="C2" s="7">
        <v>46026.963368055556</v>
      </c>
      <c r="D2" s="5" t="s">
        <v>163</v>
      </c>
      <c r="E2" s="8">
        <v>579.23</v>
      </c>
      <c r="F2" s="5" t="s">
        <v>9</v>
      </c>
      <c r="G2" s="5" t="s">
        <v>164</v>
      </c>
      <c r="H2" s="6">
        <v>46113</v>
      </c>
      <c r="I2" s="9">
        <v>132643.67000000001</v>
      </c>
      <c r="J2" s="8">
        <v>229</v>
      </c>
      <c r="K2" s="8">
        <v>229</v>
      </c>
      <c r="L2" s="9">
        <v>132643.67000000001</v>
      </c>
      <c r="N2" s="5" t="s">
        <v>80</v>
      </c>
      <c r="O2" t="s">
        <v>165</v>
      </c>
      <c r="P2">
        <f>+J2-K2</f>
        <v>0</v>
      </c>
    </row>
    <row r="3" spans="1:16" x14ac:dyDescent="0.3">
      <c r="A3" s="5">
        <v>658585</v>
      </c>
      <c r="B3" s="6">
        <v>46026</v>
      </c>
      <c r="C3" s="7">
        <v>46026.963368055556</v>
      </c>
      <c r="D3" s="5" t="s">
        <v>166</v>
      </c>
      <c r="E3" s="8">
        <v>154.65</v>
      </c>
      <c r="F3" s="5" t="s">
        <v>10</v>
      </c>
      <c r="G3" s="5" t="s">
        <v>167</v>
      </c>
      <c r="H3" s="6">
        <v>46113</v>
      </c>
      <c r="I3" s="9">
        <v>68355.3</v>
      </c>
      <c r="J3" s="8">
        <v>442</v>
      </c>
      <c r="K3" s="8">
        <v>635</v>
      </c>
      <c r="L3" s="9">
        <v>98202.75</v>
      </c>
      <c r="N3" s="5" t="s">
        <v>81</v>
      </c>
      <c r="O3" t="s">
        <v>165</v>
      </c>
      <c r="P3">
        <f t="shared" ref="P3:P66" si="0">+J3-K3</f>
        <v>-193</v>
      </c>
    </row>
    <row r="4" spans="1:16" x14ac:dyDescent="0.3">
      <c r="A4" s="5">
        <v>658585</v>
      </c>
      <c r="B4" s="6">
        <v>46026</v>
      </c>
      <c r="C4" s="7">
        <v>46026.963368055556</v>
      </c>
      <c r="D4" s="5" t="s">
        <v>168</v>
      </c>
      <c r="E4" s="8">
        <v>144.09</v>
      </c>
      <c r="F4" s="5" t="s">
        <v>11</v>
      </c>
      <c r="G4" s="5" t="s">
        <v>169</v>
      </c>
      <c r="H4" s="6">
        <v>46113</v>
      </c>
      <c r="I4" s="9">
        <v>53601.48</v>
      </c>
      <c r="J4" s="8">
        <v>372</v>
      </c>
      <c r="K4" s="8">
        <v>372</v>
      </c>
      <c r="L4" s="9">
        <v>53601.48</v>
      </c>
      <c r="N4" s="5" t="s">
        <v>82</v>
      </c>
      <c r="O4" t="s">
        <v>165</v>
      </c>
      <c r="P4">
        <f t="shared" si="0"/>
        <v>0</v>
      </c>
    </row>
    <row r="5" spans="1:16" x14ac:dyDescent="0.3">
      <c r="A5" s="5">
        <v>658585</v>
      </c>
      <c r="B5" s="6">
        <v>46026</v>
      </c>
      <c r="C5" s="7">
        <v>46026.963368055556</v>
      </c>
      <c r="D5" s="5" t="s">
        <v>170</v>
      </c>
      <c r="E5" s="8">
        <v>50.03</v>
      </c>
      <c r="F5" s="5" t="s">
        <v>12</v>
      </c>
      <c r="G5" s="5" t="s">
        <v>171</v>
      </c>
      <c r="H5" s="6">
        <v>46113</v>
      </c>
      <c r="I5" s="9">
        <v>39523.699999999997</v>
      </c>
      <c r="J5" s="8">
        <v>790</v>
      </c>
      <c r="K5" s="8">
        <v>790</v>
      </c>
      <c r="L5" s="9">
        <v>39523.699999999997</v>
      </c>
      <c r="N5" s="5" t="s">
        <v>83</v>
      </c>
      <c r="O5" t="s">
        <v>165</v>
      </c>
      <c r="P5">
        <f t="shared" si="0"/>
        <v>0</v>
      </c>
    </row>
    <row r="6" spans="1:16" x14ac:dyDescent="0.3">
      <c r="A6" s="5">
        <v>658585</v>
      </c>
      <c r="B6" s="6">
        <v>46026</v>
      </c>
      <c r="C6" s="7">
        <v>46026.963368055556</v>
      </c>
      <c r="D6" s="5" t="s">
        <v>172</v>
      </c>
      <c r="E6" s="8">
        <v>46.11</v>
      </c>
      <c r="F6" s="5" t="s">
        <v>13</v>
      </c>
      <c r="G6" s="5" t="s">
        <v>173</v>
      </c>
      <c r="H6" s="6">
        <v>46113</v>
      </c>
      <c r="I6" s="9">
        <v>110387.34</v>
      </c>
      <c r="J6" s="9">
        <v>2394</v>
      </c>
      <c r="K6" s="9">
        <v>2394</v>
      </c>
      <c r="L6" s="9">
        <v>110387.34</v>
      </c>
      <c r="N6" s="5" t="s">
        <v>84</v>
      </c>
      <c r="O6" t="s">
        <v>165</v>
      </c>
      <c r="P6">
        <f t="shared" si="0"/>
        <v>0</v>
      </c>
    </row>
    <row r="7" spans="1:16" x14ac:dyDescent="0.3">
      <c r="A7" s="5">
        <v>658585</v>
      </c>
      <c r="B7" s="6">
        <v>46026</v>
      </c>
      <c r="C7" s="7">
        <v>46026.963368055556</v>
      </c>
      <c r="D7" s="5" t="s">
        <v>174</v>
      </c>
      <c r="E7" s="8">
        <v>160.78</v>
      </c>
      <c r="F7" s="5" t="s">
        <v>14</v>
      </c>
      <c r="G7" s="5" t="s">
        <v>175</v>
      </c>
      <c r="H7" s="6">
        <v>46113</v>
      </c>
      <c r="I7" s="9">
        <v>132321.94</v>
      </c>
      <c r="J7" s="8">
        <v>823</v>
      </c>
      <c r="K7" s="8">
        <v>823</v>
      </c>
      <c r="L7" s="9">
        <v>132321.94</v>
      </c>
      <c r="N7" s="5" t="s">
        <v>85</v>
      </c>
      <c r="O7" t="s">
        <v>165</v>
      </c>
      <c r="P7">
        <f t="shared" si="0"/>
        <v>0</v>
      </c>
    </row>
    <row r="8" spans="1:16" x14ac:dyDescent="0.3">
      <c r="A8" s="5">
        <v>658585</v>
      </c>
      <c r="B8" s="6">
        <v>46026</v>
      </c>
      <c r="C8" s="7">
        <v>46026.963368055556</v>
      </c>
      <c r="D8" s="5" t="s">
        <v>176</v>
      </c>
      <c r="E8" s="8">
        <v>146.49</v>
      </c>
      <c r="F8" s="5" t="s">
        <v>15</v>
      </c>
      <c r="G8" s="5" t="s">
        <v>177</v>
      </c>
      <c r="H8" s="6">
        <v>46113</v>
      </c>
      <c r="I8" s="9">
        <v>52296.93</v>
      </c>
      <c r="J8" s="8">
        <v>357</v>
      </c>
      <c r="K8" s="8">
        <v>357</v>
      </c>
      <c r="L8" s="9">
        <v>52296.93</v>
      </c>
      <c r="N8" s="5" t="s">
        <v>86</v>
      </c>
      <c r="O8" t="s">
        <v>165</v>
      </c>
      <c r="P8">
        <f t="shared" si="0"/>
        <v>0</v>
      </c>
    </row>
    <row r="9" spans="1:16" x14ac:dyDescent="0.3">
      <c r="A9" s="5">
        <v>658585</v>
      </c>
      <c r="B9" s="6">
        <v>46026</v>
      </c>
      <c r="C9" s="7">
        <v>46026.963368055556</v>
      </c>
      <c r="D9" s="5" t="s">
        <v>178</v>
      </c>
      <c r="E9" s="8">
        <v>57.9</v>
      </c>
      <c r="F9" s="5" t="s">
        <v>16</v>
      </c>
      <c r="G9" s="5" t="s">
        <v>179</v>
      </c>
      <c r="H9" s="6">
        <v>46113</v>
      </c>
      <c r="I9" s="9">
        <v>161888.4</v>
      </c>
      <c r="J9" s="9">
        <v>2796</v>
      </c>
      <c r="K9" s="9">
        <v>2796</v>
      </c>
      <c r="L9" s="9">
        <v>161888.4</v>
      </c>
      <c r="N9" s="5" t="s">
        <v>87</v>
      </c>
      <c r="O9" t="s">
        <v>165</v>
      </c>
      <c r="P9">
        <f t="shared" si="0"/>
        <v>0</v>
      </c>
    </row>
    <row r="10" spans="1:16" x14ac:dyDescent="0.3">
      <c r="A10" s="5">
        <v>658585</v>
      </c>
      <c r="B10" s="6">
        <v>46026</v>
      </c>
      <c r="C10" s="7">
        <v>46026.963368055556</v>
      </c>
      <c r="D10" s="5" t="s">
        <v>180</v>
      </c>
      <c r="E10" s="8">
        <v>134.91</v>
      </c>
      <c r="F10" s="5" t="s">
        <v>17</v>
      </c>
      <c r="G10" s="5" t="s">
        <v>181</v>
      </c>
      <c r="H10" s="6">
        <v>46113</v>
      </c>
      <c r="I10" s="9">
        <v>613031.04</v>
      </c>
      <c r="J10" s="9">
        <v>4544</v>
      </c>
      <c r="K10" s="9">
        <v>4544</v>
      </c>
      <c r="L10" s="9">
        <v>613031.04</v>
      </c>
      <c r="N10" s="5" t="s">
        <v>88</v>
      </c>
      <c r="O10" t="s">
        <v>165</v>
      </c>
      <c r="P10">
        <f t="shared" si="0"/>
        <v>0</v>
      </c>
    </row>
    <row r="11" spans="1:16" x14ac:dyDescent="0.3">
      <c r="A11" s="5">
        <v>658585</v>
      </c>
      <c r="B11" s="6">
        <v>46026</v>
      </c>
      <c r="C11" s="7">
        <v>46026.963368055556</v>
      </c>
      <c r="D11" s="5" t="s">
        <v>180</v>
      </c>
      <c r="E11" s="8">
        <v>134.91</v>
      </c>
      <c r="F11" s="5" t="s">
        <v>17</v>
      </c>
      <c r="G11" s="5" t="s">
        <v>181</v>
      </c>
      <c r="H11" s="6">
        <v>46113</v>
      </c>
      <c r="I11" s="9">
        <v>68129.55</v>
      </c>
      <c r="J11" s="8">
        <v>505</v>
      </c>
      <c r="K11" s="8">
        <v>505</v>
      </c>
      <c r="L11" s="9">
        <v>68129.55</v>
      </c>
      <c r="N11" s="5" t="s">
        <v>88</v>
      </c>
      <c r="O11" t="s">
        <v>165</v>
      </c>
      <c r="P11">
        <f t="shared" si="0"/>
        <v>0</v>
      </c>
    </row>
    <row r="12" spans="1:16" x14ac:dyDescent="0.3">
      <c r="A12" s="5">
        <v>658585</v>
      </c>
      <c r="B12" s="6">
        <v>46026</v>
      </c>
      <c r="C12" s="7">
        <v>46026.963368055556</v>
      </c>
      <c r="D12" s="5" t="s">
        <v>182</v>
      </c>
      <c r="E12" s="8">
        <v>81.459999999999994</v>
      </c>
      <c r="F12" s="5" t="s">
        <v>18</v>
      </c>
      <c r="G12" s="5" t="s">
        <v>183</v>
      </c>
      <c r="H12" s="6">
        <v>46113</v>
      </c>
      <c r="I12" s="9">
        <v>90094.76</v>
      </c>
      <c r="J12" s="9">
        <v>1106</v>
      </c>
      <c r="K12" s="9">
        <v>1106</v>
      </c>
      <c r="L12" s="9">
        <v>90094.76</v>
      </c>
      <c r="N12" s="5" t="s">
        <v>89</v>
      </c>
      <c r="O12" t="s">
        <v>165</v>
      </c>
      <c r="P12">
        <f t="shared" si="0"/>
        <v>0</v>
      </c>
    </row>
    <row r="13" spans="1:16" x14ac:dyDescent="0.3">
      <c r="A13" s="5">
        <v>658585</v>
      </c>
      <c r="B13" s="6">
        <v>46026</v>
      </c>
      <c r="C13" s="7">
        <v>46026.963368055556</v>
      </c>
      <c r="D13" s="5" t="s">
        <v>184</v>
      </c>
      <c r="E13" s="8">
        <v>21.94</v>
      </c>
      <c r="F13" s="5" t="s">
        <v>19</v>
      </c>
      <c r="G13" s="5" t="s">
        <v>185</v>
      </c>
      <c r="H13" s="6">
        <v>46113</v>
      </c>
      <c r="I13" s="9">
        <v>21194.04</v>
      </c>
      <c r="J13" s="8">
        <v>966</v>
      </c>
      <c r="K13" s="8">
        <v>0</v>
      </c>
      <c r="L13" s="8">
        <v>0</v>
      </c>
      <c r="N13" s="5" t="s">
        <v>90</v>
      </c>
      <c r="O13" t="s">
        <v>165</v>
      </c>
      <c r="P13">
        <f t="shared" si="0"/>
        <v>966</v>
      </c>
    </row>
    <row r="14" spans="1:16" x14ac:dyDescent="0.3">
      <c r="A14" s="5">
        <v>658585</v>
      </c>
      <c r="B14" s="6">
        <v>46026</v>
      </c>
      <c r="C14" s="7">
        <v>46026.963368055556</v>
      </c>
      <c r="D14" s="5" t="s">
        <v>186</v>
      </c>
      <c r="E14" s="8">
        <v>50.46</v>
      </c>
      <c r="F14" s="5" t="s">
        <v>20</v>
      </c>
      <c r="G14" s="5" t="s">
        <v>187</v>
      </c>
      <c r="H14" s="6">
        <v>46113</v>
      </c>
      <c r="I14" s="9">
        <v>38097.300000000003</v>
      </c>
      <c r="J14" s="8">
        <v>755</v>
      </c>
      <c r="K14" s="8">
        <v>755</v>
      </c>
      <c r="L14" s="9">
        <v>38097.300000000003</v>
      </c>
      <c r="N14" s="5" t="s">
        <v>91</v>
      </c>
      <c r="O14" t="s">
        <v>165</v>
      </c>
      <c r="P14">
        <f t="shared" si="0"/>
        <v>0</v>
      </c>
    </row>
    <row r="15" spans="1:16" x14ac:dyDescent="0.3">
      <c r="A15" s="5">
        <v>658585</v>
      </c>
      <c r="B15" s="6">
        <v>46026</v>
      </c>
      <c r="C15" s="7">
        <v>46026.963368055556</v>
      </c>
      <c r="D15" s="5" t="s">
        <v>188</v>
      </c>
      <c r="E15" s="8">
        <v>255.63</v>
      </c>
      <c r="F15" s="5" t="s">
        <v>21</v>
      </c>
      <c r="G15" s="5" t="s">
        <v>189</v>
      </c>
      <c r="H15" s="6">
        <v>46113</v>
      </c>
      <c r="I15" s="9">
        <v>438916.71</v>
      </c>
      <c r="J15" s="9">
        <v>1717</v>
      </c>
      <c r="K15" s="9">
        <v>1717</v>
      </c>
      <c r="L15" s="9">
        <v>438916.71</v>
      </c>
      <c r="N15" s="5" t="s">
        <v>92</v>
      </c>
      <c r="O15" t="s">
        <v>165</v>
      </c>
      <c r="P15">
        <f t="shared" si="0"/>
        <v>0</v>
      </c>
    </row>
    <row r="16" spans="1:16" x14ac:dyDescent="0.3">
      <c r="A16" s="5">
        <v>658585</v>
      </c>
      <c r="B16" s="6">
        <v>46026</v>
      </c>
      <c r="C16" s="7">
        <v>46026.963368055556</v>
      </c>
      <c r="D16" s="5" t="s">
        <v>190</v>
      </c>
      <c r="E16" s="8">
        <v>6.97</v>
      </c>
      <c r="F16" s="5" t="s">
        <v>22</v>
      </c>
      <c r="G16" s="5" t="s">
        <v>191</v>
      </c>
      <c r="H16" s="6">
        <v>46113</v>
      </c>
      <c r="I16" s="9">
        <v>16344.65</v>
      </c>
      <c r="J16" s="9">
        <v>2345</v>
      </c>
      <c r="K16" s="9">
        <v>2345</v>
      </c>
      <c r="L16" s="9">
        <v>16344.65</v>
      </c>
      <c r="N16" s="5" t="s">
        <v>93</v>
      </c>
      <c r="O16" t="s">
        <v>165</v>
      </c>
      <c r="P16">
        <f t="shared" si="0"/>
        <v>0</v>
      </c>
    </row>
    <row r="17" spans="1:16" x14ac:dyDescent="0.3">
      <c r="A17" s="5">
        <v>658585</v>
      </c>
      <c r="B17" s="6">
        <v>46026</v>
      </c>
      <c r="C17" s="7">
        <v>46026.963368055556</v>
      </c>
      <c r="D17" s="5" t="s">
        <v>192</v>
      </c>
      <c r="E17" s="8">
        <v>369.37</v>
      </c>
      <c r="F17" s="5" t="s">
        <v>23</v>
      </c>
      <c r="G17" s="5" t="s">
        <v>193</v>
      </c>
      <c r="H17" s="6">
        <v>46113</v>
      </c>
      <c r="I17" s="9">
        <v>324676.23</v>
      </c>
      <c r="J17" s="8">
        <v>879</v>
      </c>
      <c r="K17" s="8">
        <v>879</v>
      </c>
      <c r="L17" s="9">
        <v>324676.23</v>
      </c>
      <c r="N17" s="5" t="s">
        <v>94</v>
      </c>
      <c r="O17" t="s">
        <v>165</v>
      </c>
      <c r="P17">
        <f t="shared" si="0"/>
        <v>0</v>
      </c>
    </row>
    <row r="18" spans="1:16" x14ac:dyDescent="0.3">
      <c r="A18" s="5">
        <v>658585</v>
      </c>
      <c r="B18" s="6">
        <v>46026</v>
      </c>
      <c r="C18" s="7">
        <v>46026.963368055556</v>
      </c>
      <c r="D18" s="5" t="s">
        <v>194</v>
      </c>
      <c r="E18" s="8">
        <v>44.63</v>
      </c>
      <c r="F18" s="5" t="s">
        <v>24</v>
      </c>
      <c r="G18" s="5" t="s">
        <v>195</v>
      </c>
      <c r="H18" s="6">
        <v>46113</v>
      </c>
      <c r="I18" s="9">
        <v>26197.81</v>
      </c>
      <c r="J18" s="8">
        <v>587</v>
      </c>
      <c r="K18" s="8">
        <v>0</v>
      </c>
      <c r="L18" s="8">
        <v>0</v>
      </c>
      <c r="N18" s="5" t="s">
        <v>95</v>
      </c>
      <c r="O18" t="s">
        <v>165</v>
      </c>
      <c r="P18">
        <f t="shared" si="0"/>
        <v>587</v>
      </c>
    </row>
    <row r="19" spans="1:16" x14ac:dyDescent="0.3">
      <c r="A19" s="5">
        <v>658585</v>
      </c>
      <c r="B19" s="6">
        <v>46026</v>
      </c>
      <c r="C19" s="7">
        <v>46026.963368055556</v>
      </c>
      <c r="D19" s="5" t="s">
        <v>196</v>
      </c>
      <c r="E19" s="8">
        <v>83.99</v>
      </c>
      <c r="F19" s="5" t="s">
        <v>25</v>
      </c>
      <c r="G19" s="5" t="s">
        <v>197</v>
      </c>
      <c r="H19" s="6">
        <v>46113</v>
      </c>
      <c r="I19" s="9">
        <v>36787.620000000003</v>
      </c>
      <c r="J19" s="8">
        <v>438</v>
      </c>
      <c r="K19" s="8">
        <v>438</v>
      </c>
      <c r="L19" s="9">
        <v>36787.620000000003</v>
      </c>
      <c r="N19" s="5" t="s">
        <v>96</v>
      </c>
      <c r="O19" t="s">
        <v>165</v>
      </c>
      <c r="P19">
        <f t="shared" si="0"/>
        <v>0</v>
      </c>
    </row>
    <row r="20" spans="1:16" x14ac:dyDescent="0.3">
      <c r="A20" s="5">
        <v>658585</v>
      </c>
      <c r="B20" s="6">
        <v>46026</v>
      </c>
      <c r="C20" s="7">
        <v>46026.963368055556</v>
      </c>
      <c r="D20" s="5" t="s">
        <v>198</v>
      </c>
      <c r="E20" s="8">
        <v>58.97</v>
      </c>
      <c r="F20" s="5" t="s">
        <v>26</v>
      </c>
      <c r="G20" s="5" t="s">
        <v>199</v>
      </c>
      <c r="H20" s="6">
        <v>46113</v>
      </c>
      <c r="I20" s="9">
        <v>83206.67</v>
      </c>
      <c r="J20" s="9">
        <v>1411</v>
      </c>
      <c r="K20" s="9">
        <v>1411</v>
      </c>
      <c r="L20" s="9">
        <v>83206.67</v>
      </c>
      <c r="N20" s="5" t="s">
        <v>97</v>
      </c>
      <c r="O20" t="s">
        <v>165</v>
      </c>
      <c r="P20">
        <f t="shared" si="0"/>
        <v>0</v>
      </c>
    </row>
    <row r="21" spans="1:16" x14ac:dyDescent="0.3">
      <c r="A21" s="5">
        <v>658585</v>
      </c>
      <c r="B21" s="6">
        <v>46026</v>
      </c>
      <c r="C21" s="7">
        <v>46026.963368055556</v>
      </c>
      <c r="D21" s="5" t="s">
        <v>200</v>
      </c>
      <c r="E21" s="8">
        <v>164.43</v>
      </c>
      <c r="F21" s="5" t="s">
        <v>27</v>
      </c>
      <c r="G21" s="5" t="s">
        <v>201</v>
      </c>
      <c r="H21" s="6">
        <v>46113</v>
      </c>
      <c r="I21" s="9">
        <v>434095.2</v>
      </c>
      <c r="J21" s="9">
        <v>2640</v>
      </c>
      <c r="K21" s="9">
        <v>2640</v>
      </c>
      <c r="L21" s="9">
        <v>434095.2</v>
      </c>
      <c r="N21" s="5" t="s">
        <v>98</v>
      </c>
      <c r="O21" t="s">
        <v>165</v>
      </c>
      <c r="P21">
        <f t="shared" si="0"/>
        <v>0</v>
      </c>
    </row>
    <row r="22" spans="1:16" x14ac:dyDescent="0.3">
      <c r="A22" s="5">
        <v>658585</v>
      </c>
      <c r="B22" s="6">
        <v>46026</v>
      </c>
      <c r="C22" s="7">
        <v>46026.963368055556</v>
      </c>
      <c r="D22" s="5" t="s">
        <v>202</v>
      </c>
      <c r="E22" s="8">
        <v>124.73</v>
      </c>
      <c r="F22" s="5" t="s">
        <v>28</v>
      </c>
      <c r="G22" s="5" t="s">
        <v>203</v>
      </c>
      <c r="H22" s="6">
        <v>46113</v>
      </c>
      <c r="I22" s="9">
        <v>84192.75</v>
      </c>
      <c r="J22" s="8">
        <v>675</v>
      </c>
      <c r="K22" s="8">
        <v>675</v>
      </c>
      <c r="L22" s="9">
        <v>84192.75</v>
      </c>
      <c r="N22" s="5" t="s">
        <v>99</v>
      </c>
      <c r="O22" t="s">
        <v>165</v>
      </c>
      <c r="P22">
        <f t="shared" si="0"/>
        <v>0</v>
      </c>
    </row>
    <row r="23" spans="1:16" x14ac:dyDescent="0.3">
      <c r="A23" s="5">
        <v>658585</v>
      </c>
      <c r="B23" s="6">
        <v>46026</v>
      </c>
      <c r="C23" s="7">
        <v>46026.963368055556</v>
      </c>
      <c r="D23" s="5" t="s">
        <v>204</v>
      </c>
      <c r="E23" s="8">
        <v>658.06</v>
      </c>
      <c r="F23" s="5" t="s">
        <v>29</v>
      </c>
      <c r="G23" s="5" t="s">
        <v>205</v>
      </c>
      <c r="H23" s="6">
        <v>46113</v>
      </c>
      <c r="I23" s="9">
        <v>1967599.4</v>
      </c>
      <c r="J23" s="9">
        <v>2990</v>
      </c>
      <c r="K23" s="9">
        <v>2990</v>
      </c>
      <c r="L23" s="9">
        <v>1967599.4</v>
      </c>
      <c r="N23" s="5" t="s">
        <v>100</v>
      </c>
      <c r="O23" t="s">
        <v>165</v>
      </c>
      <c r="P23">
        <f t="shared" si="0"/>
        <v>0</v>
      </c>
    </row>
    <row r="24" spans="1:16" x14ac:dyDescent="0.3">
      <c r="A24" s="5">
        <v>658585</v>
      </c>
      <c r="B24" s="6">
        <v>46026</v>
      </c>
      <c r="C24" s="7">
        <v>46026.963368055556</v>
      </c>
      <c r="D24" s="5" t="s">
        <v>206</v>
      </c>
      <c r="E24" s="8">
        <v>228.41</v>
      </c>
      <c r="F24" s="5" t="s">
        <v>30</v>
      </c>
      <c r="G24" s="5" t="s">
        <v>207</v>
      </c>
      <c r="H24" s="6">
        <v>46113</v>
      </c>
      <c r="I24" s="9">
        <v>13704.6</v>
      </c>
      <c r="J24" s="8">
        <v>60</v>
      </c>
      <c r="K24" s="8">
        <v>60</v>
      </c>
      <c r="L24" s="9">
        <v>13704.6</v>
      </c>
      <c r="N24" s="5" t="s">
        <v>101</v>
      </c>
      <c r="O24" t="s">
        <v>165</v>
      </c>
      <c r="P24">
        <f t="shared" si="0"/>
        <v>0</v>
      </c>
    </row>
    <row r="25" spans="1:16" x14ac:dyDescent="0.3">
      <c r="A25" s="5">
        <v>658585</v>
      </c>
      <c r="B25" s="6">
        <v>46026</v>
      </c>
      <c r="C25" s="7">
        <v>46026.963368055556</v>
      </c>
      <c r="D25" s="5" t="s">
        <v>208</v>
      </c>
      <c r="E25" s="8">
        <v>297.39</v>
      </c>
      <c r="F25" s="5" t="s">
        <v>31</v>
      </c>
      <c r="G25" s="5" t="s">
        <v>209</v>
      </c>
      <c r="H25" s="6">
        <v>46113</v>
      </c>
      <c r="I25" s="9">
        <v>203117.37</v>
      </c>
      <c r="J25" s="8">
        <v>683</v>
      </c>
      <c r="K25" s="8">
        <v>683</v>
      </c>
      <c r="L25" s="9">
        <v>203117.37</v>
      </c>
      <c r="N25" s="5" t="s">
        <v>102</v>
      </c>
      <c r="O25" t="s">
        <v>165</v>
      </c>
      <c r="P25">
        <f t="shared" si="0"/>
        <v>0</v>
      </c>
    </row>
    <row r="26" spans="1:16" x14ac:dyDescent="0.3">
      <c r="A26" s="5">
        <v>658585</v>
      </c>
      <c r="B26" s="6">
        <v>46026</v>
      </c>
      <c r="C26" s="7">
        <v>46026.963368055556</v>
      </c>
      <c r="D26" s="5" t="s">
        <v>210</v>
      </c>
      <c r="E26" s="8">
        <v>292.68</v>
      </c>
      <c r="F26" s="5" t="s">
        <v>32</v>
      </c>
      <c r="G26" s="5" t="s">
        <v>211</v>
      </c>
      <c r="H26" s="6">
        <v>46113</v>
      </c>
      <c r="I26" s="9">
        <v>90438.12</v>
      </c>
      <c r="J26" s="8">
        <v>309</v>
      </c>
      <c r="K26" s="8">
        <v>309</v>
      </c>
      <c r="L26" s="9">
        <v>90438.12</v>
      </c>
      <c r="N26" s="5" t="s">
        <v>103</v>
      </c>
      <c r="O26" t="s">
        <v>165</v>
      </c>
      <c r="P26">
        <f t="shared" si="0"/>
        <v>0</v>
      </c>
    </row>
    <row r="27" spans="1:16" x14ac:dyDescent="0.3">
      <c r="A27" s="5">
        <v>658585</v>
      </c>
      <c r="B27" s="6">
        <v>46026</v>
      </c>
      <c r="C27" s="7">
        <v>46026.963368055556</v>
      </c>
      <c r="D27" s="5" t="s">
        <v>212</v>
      </c>
      <c r="E27" s="8">
        <v>954.52</v>
      </c>
      <c r="F27" s="5" t="s">
        <v>33</v>
      </c>
      <c r="G27" s="5" t="s">
        <v>213</v>
      </c>
      <c r="H27" s="6">
        <v>46113</v>
      </c>
      <c r="I27" s="9">
        <v>187085.92</v>
      </c>
      <c r="J27" s="8">
        <v>196</v>
      </c>
      <c r="K27" s="8">
        <v>196</v>
      </c>
      <c r="L27" s="9">
        <v>187085.92</v>
      </c>
      <c r="N27" s="5" t="s">
        <v>104</v>
      </c>
      <c r="O27" t="s">
        <v>165</v>
      </c>
      <c r="P27">
        <f t="shared" si="0"/>
        <v>0</v>
      </c>
    </row>
    <row r="28" spans="1:16" x14ac:dyDescent="0.3">
      <c r="A28" s="5">
        <v>658585</v>
      </c>
      <c r="B28" s="6">
        <v>46026</v>
      </c>
      <c r="C28" s="7">
        <v>46026.963368055556</v>
      </c>
      <c r="D28" s="5" t="s">
        <v>214</v>
      </c>
      <c r="E28" s="8">
        <v>478.5</v>
      </c>
      <c r="F28" s="5" t="s">
        <v>34</v>
      </c>
      <c r="G28" s="5" t="s">
        <v>215</v>
      </c>
      <c r="H28" s="6">
        <v>46113</v>
      </c>
      <c r="I28" s="9">
        <v>51678</v>
      </c>
      <c r="J28" s="8">
        <v>108</v>
      </c>
      <c r="K28" s="8">
        <v>108</v>
      </c>
      <c r="L28" s="9">
        <v>51678</v>
      </c>
      <c r="N28" s="5" t="s">
        <v>105</v>
      </c>
      <c r="O28" t="s">
        <v>165</v>
      </c>
      <c r="P28">
        <f t="shared" si="0"/>
        <v>0</v>
      </c>
    </row>
    <row r="29" spans="1:16" x14ac:dyDescent="0.3">
      <c r="A29" s="5">
        <v>658585</v>
      </c>
      <c r="B29" s="6">
        <v>46026</v>
      </c>
      <c r="C29" s="7">
        <v>46026.963368055556</v>
      </c>
      <c r="D29" s="5" t="s">
        <v>216</v>
      </c>
      <c r="E29" s="9">
        <v>1428.52</v>
      </c>
      <c r="F29" s="5" t="s">
        <v>35</v>
      </c>
      <c r="G29" s="5" t="s">
        <v>217</v>
      </c>
      <c r="H29" s="6">
        <v>46113</v>
      </c>
      <c r="I29" s="9">
        <v>17142.240000000002</v>
      </c>
      <c r="J29" s="8">
        <v>12</v>
      </c>
      <c r="K29" s="8">
        <v>12</v>
      </c>
      <c r="L29" s="9">
        <v>17142.240000000002</v>
      </c>
      <c r="N29" s="5" t="s">
        <v>106</v>
      </c>
      <c r="O29" t="s">
        <v>165</v>
      </c>
      <c r="P29">
        <f t="shared" si="0"/>
        <v>0</v>
      </c>
    </row>
    <row r="30" spans="1:16" x14ac:dyDescent="0.3">
      <c r="A30" s="5">
        <v>658585</v>
      </c>
      <c r="B30" s="6">
        <v>46026</v>
      </c>
      <c r="C30" s="7">
        <v>46026.963368055556</v>
      </c>
      <c r="D30" s="5" t="s">
        <v>218</v>
      </c>
      <c r="E30" s="8">
        <v>32.630000000000003</v>
      </c>
      <c r="F30" s="5" t="s">
        <v>36</v>
      </c>
      <c r="G30" s="5" t="s">
        <v>219</v>
      </c>
      <c r="H30" s="6">
        <v>46113</v>
      </c>
      <c r="I30" s="9">
        <v>26495.56</v>
      </c>
      <c r="J30" s="8">
        <v>812</v>
      </c>
      <c r="K30" s="8">
        <v>0</v>
      </c>
      <c r="L30" s="8">
        <v>0</v>
      </c>
      <c r="N30" s="5" t="s">
        <v>107</v>
      </c>
      <c r="O30" t="s">
        <v>165</v>
      </c>
      <c r="P30">
        <f t="shared" si="0"/>
        <v>812</v>
      </c>
    </row>
    <row r="31" spans="1:16" x14ac:dyDescent="0.3">
      <c r="A31" s="5">
        <v>658585</v>
      </c>
      <c r="B31" s="6">
        <v>46026</v>
      </c>
      <c r="C31" s="7">
        <v>46026.963368055556</v>
      </c>
      <c r="D31" s="5" t="s">
        <v>220</v>
      </c>
      <c r="E31" s="8">
        <v>491.65</v>
      </c>
      <c r="F31" s="5" t="s">
        <v>37</v>
      </c>
      <c r="G31" s="5" t="s">
        <v>221</v>
      </c>
      <c r="H31" s="6">
        <v>46113</v>
      </c>
      <c r="I31" s="9">
        <v>25074.15</v>
      </c>
      <c r="J31" s="8">
        <v>51</v>
      </c>
      <c r="K31" s="8">
        <v>51</v>
      </c>
      <c r="L31" s="9">
        <v>25074.15</v>
      </c>
      <c r="N31" s="5" t="s">
        <v>108</v>
      </c>
      <c r="O31" t="s">
        <v>165</v>
      </c>
      <c r="P31">
        <f t="shared" si="0"/>
        <v>0</v>
      </c>
    </row>
    <row r="32" spans="1:16" x14ac:dyDescent="0.3">
      <c r="A32" s="5">
        <v>658585</v>
      </c>
      <c r="B32" s="6">
        <v>46026</v>
      </c>
      <c r="C32" s="7">
        <v>46026.963368055556</v>
      </c>
      <c r="D32" s="5" t="s">
        <v>222</v>
      </c>
      <c r="E32" s="8">
        <v>13.72</v>
      </c>
      <c r="F32" s="5" t="s">
        <v>38</v>
      </c>
      <c r="G32" s="5" t="s">
        <v>223</v>
      </c>
      <c r="H32" s="6">
        <v>46113</v>
      </c>
      <c r="I32" s="9">
        <v>11264.12</v>
      </c>
      <c r="J32" s="8">
        <v>821</v>
      </c>
      <c r="K32" s="8">
        <v>0</v>
      </c>
      <c r="L32" s="8">
        <v>0</v>
      </c>
      <c r="N32" s="5" t="s">
        <v>109</v>
      </c>
      <c r="O32" t="s">
        <v>165</v>
      </c>
      <c r="P32">
        <f t="shared" si="0"/>
        <v>821</v>
      </c>
    </row>
    <row r="33" spans="1:16" x14ac:dyDescent="0.3">
      <c r="A33" s="5">
        <v>658585</v>
      </c>
      <c r="B33" s="6">
        <v>46026</v>
      </c>
      <c r="C33" s="7">
        <v>46026.963368055556</v>
      </c>
      <c r="D33" s="5" t="s">
        <v>224</v>
      </c>
      <c r="E33" s="8">
        <v>280.13</v>
      </c>
      <c r="F33" s="5" t="s">
        <v>39</v>
      </c>
      <c r="G33" s="5" t="s">
        <v>225</v>
      </c>
      <c r="H33" s="6">
        <v>46113</v>
      </c>
      <c r="I33" s="9">
        <v>159674.1</v>
      </c>
      <c r="J33" s="8">
        <v>570</v>
      </c>
      <c r="K33" s="8">
        <v>570</v>
      </c>
      <c r="L33" s="9">
        <v>159674.1</v>
      </c>
      <c r="N33" s="5" t="s">
        <v>110</v>
      </c>
      <c r="O33" t="s">
        <v>165</v>
      </c>
      <c r="P33">
        <f t="shared" si="0"/>
        <v>0</v>
      </c>
    </row>
    <row r="34" spans="1:16" x14ac:dyDescent="0.3">
      <c r="A34" s="5">
        <v>658585</v>
      </c>
      <c r="B34" s="6">
        <v>46026</v>
      </c>
      <c r="C34" s="7">
        <v>46026.963368055556</v>
      </c>
      <c r="D34" s="5" t="s">
        <v>226</v>
      </c>
      <c r="E34" s="8">
        <v>730.32</v>
      </c>
      <c r="F34" s="5" t="s">
        <v>40</v>
      </c>
      <c r="G34" s="5" t="s">
        <v>227</v>
      </c>
      <c r="H34" s="6">
        <v>46113</v>
      </c>
      <c r="I34" s="9">
        <v>105896.4</v>
      </c>
      <c r="J34" s="8">
        <v>145</v>
      </c>
      <c r="K34" s="8">
        <v>145</v>
      </c>
      <c r="L34" s="9">
        <v>105896.4</v>
      </c>
      <c r="N34" s="5" t="s">
        <v>111</v>
      </c>
      <c r="O34" t="s">
        <v>165</v>
      </c>
      <c r="P34">
        <f t="shared" si="0"/>
        <v>0</v>
      </c>
    </row>
    <row r="35" spans="1:16" x14ac:dyDescent="0.3">
      <c r="A35" s="5">
        <v>658585</v>
      </c>
      <c r="B35" s="6">
        <v>46026</v>
      </c>
      <c r="C35" s="7">
        <v>46026.963368055556</v>
      </c>
      <c r="D35" s="5" t="s">
        <v>228</v>
      </c>
      <c r="E35" s="9">
        <v>1359.76</v>
      </c>
      <c r="F35" s="5" t="s">
        <v>41</v>
      </c>
      <c r="G35" s="5" t="s">
        <v>229</v>
      </c>
      <c r="H35" s="6">
        <v>46113</v>
      </c>
      <c r="I35" s="9">
        <v>29914.720000000001</v>
      </c>
      <c r="J35" s="8">
        <v>22</v>
      </c>
      <c r="K35" s="8">
        <v>22</v>
      </c>
      <c r="L35" s="9">
        <v>29914.720000000001</v>
      </c>
      <c r="N35" s="5" t="s">
        <v>112</v>
      </c>
      <c r="O35" t="s">
        <v>165</v>
      </c>
      <c r="P35">
        <f t="shared" si="0"/>
        <v>0</v>
      </c>
    </row>
    <row r="36" spans="1:16" x14ac:dyDescent="0.3">
      <c r="A36" s="5">
        <v>658585</v>
      </c>
      <c r="B36" s="6">
        <v>46026</v>
      </c>
      <c r="C36" s="7">
        <v>46026.963368055556</v>
      </c>
      <c r="D36" s="5" t="s">
        <v>230</v>
      </c>
      <c r="E36" s="8">
        <v>92.87</v>
      </c>
      <c r="F36" s="5" t="s">
        <v>42</v>
      </c>
      <c r="G36" s="5" t="s">
        <v>231</v>
      </c>
      <c r="H36" s="6">
        <v>46113</v>
      </c>
      <c r="I36" s="9">
        <v>24331.94</v>
      </c>
      <c r="J36" s="8">
        <v>262</v>
      </c>
      <c r="K36" s="8">
        <v>262</v>
      </c>
      <c r="L36" s="9">
        <v>24331.94</v>
      </c>
      <c r="N36" s="5" t="s">
        <v>113</v>
      </c>
      <c r="O36" t="s">
        <v>165</v>
      </c>
      <c r="P36">
        <f t="shared" si="0"/>
        <v>0</v>
      </c>
    </row>
    <row r="37" spans="1:16" x14ac:dyDescent="0.3">
      <c r="A37" s="5">
        <v>658585</v>
      </c>
      <c r="B37" s="6">
        <v>46026</v>
      </c>
      <c r="C37" s="7">
        <v>46026.963368055556</v>
      </c>
      <c r="D37" s="5" t="s">
        <v>232</v>
      </c>
      <c r="E37" s="8">
        <v>313.49</v>
      </c>
      <c r="F37" s="5" t="s">
        <v>43</v>
      </c>
      <c r="G37" s="5" t="s">
        <v>233</v>
      </c>
      <c r="H37" s="6">
        <v>46113</v>
      </c>
      <c r="I37" s="9">
        <v>170852.05</v>
      </c>
      <c r="J37" s="8">
        <v>545</v>
      </c>
      <c r="K37" s="8">
        <v>545</v>
      </c>
      <c r="L37" s="9">
        <v>170852.05</v>
      </c>
      <c r="N37" s="5" t="s">
        <v>114</v>
      </c>
      <c r="O37" t="s">
        <v>165</v>
      </c>
      <c r="P37">
        <f t="shared" si="0"/>
        <v>0</v>
      </c>
    </row>
    <row r="38" spans="1:16" x14ac:dyDescent="0.3">
      <c r="A38" s="5">
        <v>658585</v>
      </c>
      <c r="B38" s="6">
        <v>46026</v>
      </c>
      <c r="C38" s="7">
        <v>46026.963368055556</v>
      </c>
      <c r="D38" s="5" t="s">
        <v>234</v>
      </c>
      <c r="E38" s="8">
        <v>493.67</v>
      </c>
      <c r="F38" s="5" t="s">
        <v>44</v>
      </c>
      <c r="G38" s="5" t="s">
        <v>235</v>
      </c>
      <c r="H38" s="6">
        <v>46113</v>
      </c>
      <c r="I38" s="9">
        <v>49367</v>
      </c>
      <c r="J38" s="8">
        <v>100</v>
      </c>
      <c r="K38" s="8">
        <v>100</v>
      </c>
      <c r="L38" s="9">
        <v>49367</v>
      </c>
      <c r="N38" s="5" t="s">
        <v>115</v>
      </c>
      <c r="O38" t="s">
        <v>165</v>
      </c>
      <c r="P38">
        <f t="shared" si="0"/>
        <v>0</v>
      </c>
    </row>
    <row r="39" spans="1:16" x14ac:dyDescent="0.3">
      <c r="A39" s="5">
        <v>658585</v>
      </c>
      <c r="B39" s="6">
        <v>46026</v>
      </c>
      <c r="C39" s="7">
        <v>46026.963368055556</v>
      </c>
      <c r="D39" s="5" t="s">
        <v>236</v>
      </c>
      <c r="E39" s="8">
        <v>147.72999999999999</v>
      </c>
      <c r="F39" s="5" t="s">
        <v>45</v>
      </c>
      <c r="G39" s="5" t="s">
        <v>237</v>
      </c>
      <c r="H39" s="6">
        <v>46113</v>
      </c>
      <c r="I39" s="9">
        <v>72830.89</v>
      </c>
      <c r="J39" s="8">
        <v>493</v>
      </c>
      <c r="K39" s="8">
        <v>493</v>
      </c>
      <c r="L39" s="9">
        <v>72830.89</v>
      </c>
      <c r="N39" s="5" t="s">
        <v>116</v>
      </c>
      <c r="O39" t="s">
        <v>165</v>
      </c>
      <c r="P39">
        <f t="shared" si="0"/>
        <v>0</v>
      </c>
    </row>
    <row r="40" spans="1:16" x14ac:dyDescent="0.3">
      <c r="A40" s="5">
        <v>658585</v>
      </c>
      <c r="B40" s="6">
        <v>46026</v>
      </c>
      <c r="C40" s="7">
        <v>46026.963368055556</v>
      </c>
      <c r="D40" s="5" t="s">
        <v>236</v>
      </c>
      <c r="E40" s="8">
        <v>147.72999999999999</v>
      </c>
      <c r="F40" s="5" t="s">
        <v>45</v>
      </c>
      <c r="G40" s="5" t="s">
        <v>237</v>
      </c>
      <c r="H40" s="6">
        <v>46113</v>
      </c>
      <c r="I40" s="9">
        <v>138127.54999999999</v>
      </c>
      <c r="J40" s="8">
        <v>935</v>
      </c>
      <c r="K40" s="8">
        <v>935</v>
      </c>
      <c r="L40" s="9">
        <v>138127.54999999999</v>
      </c>
      <c r="N40" s="5" t="s">
        <v>116</v>
      </c>
      <c r="O40" t="s">
        <v>165</v>
      </c>
      <c r="P40">
        <f t="shared" si="0"/>
        <v>0</v>
      </c>
    </row>
    <row r="41" spans="1:16" x14ac:dyDescent="0.3">
      <c r="A41" s="5">
        <v>658585</v>
      </c>
      <c r="B41" s="6">
        <v>46026</v>
      </c>
      <c r="C41" s="7">
        <v>46026.963368055556</v>
      </c>
      <c r="D41" s="5" t="s">
        <v>238</v>
      </c>
      <c r="E41" s="8">
        <v>294.89999999999998</v>
      </c>
      <c r="F41" s="5" t="s">
        <v>46</v>
      </c>
      <c r="G41" s="5" t="s">
        <v>239</v>
      </c>
      <c r="H41" s="6">
        <v>46113</v>
      </c>
      <c r="I41" s="9">
        <v>203186.1</v>
      </c>
      <c r="J41" s="8">
        <v>689</v>
      </c>
      <c r="K41" s="8">
        <v>689</v>
      </c>
      <c r="L41" s="9">
        <v>203186.1</v>
      </c>
      <c r="N41" s="5" t="s">
        <v>117</v>
      </c>
      <c r="O41" t="s">
        <v>165</v>
      </c>
      <c r="P41">
        <f t="shared" si="0"/>
        <v>0</v>
      </c>
    </row>
    <row r="42" spans="1:16" x14ac:dyDescent="0.3">
      <c r="A42" s="5">
        <v>658585</v>
      </c>
      <c r="B42" s="6">
        <v>46026</v>
      </c>
      <c r="C42" s="7">
        <v>46026.963368055556</v>
      </c>
      <c r="D42" s="5" t="s">
        <v>240</v>
      </c>
      <c r="E42" s="8">
        <v>15.63</v>
      </c>
      <c r="F42" s="5" t="s">
        <v>47</v>
      </c>
      <c r="G42" s="5" t="s">
        <v>241</v>
      </c>
      <c r="H42" s="6">
        <v>46113</v>
      </c>
      <c r="I42" s="9">
        <v>96046.35</v>
      </c>
      <c r="J42" s="9">
        <v>6145</v>
      </c>
      <c r="K42" s="9">
        <v>6145</v>
      </c>
      <c r="L42" s="9">
        <v>96046.35</v>
      </c>
      <c r="N42" s="5" t="s">
        <v>118</v>
      </c>
      <c r="O42" t="s">
        <v>165</v>
      </c>
      <c r="P42">
        <f t="shared" si="0"/>
        <v>0</v>
      </c>
    </row>
    <row r="43" spans="1:16" x14ac:dyDescent="0.3">
      <c r="A43" s="5">
        <v>658585</v>
      </c>
      <c r="B43" s="6">
        <v>46026</v>
      </c>
      <c r="C43" s="7">
        <v>46026.963368055556</v>
      </c>
      <c r="D43" s="5" t="s">
        <v>242</v>
      </c>
      <c r="E43" s="8">
        <v>109.8</v>
      </c>
      <c r="F43" s="5" t="s">
        <v>48</v>
      </c>
      <c r="G43" s="5" t="s">
        <v>243</v>
      </c>
      <c r="H43" s="6">
        <v>46113</v>
      </c>
      <c r="I43" s="9">
        <v>-30195</v>
      </c>
      <c r="J43" s="8">
        <v>-275</v>
      </c>
      <c r="K43" s="8">
        <v>0</v>
      </c>
      <c r="L43" s="8">
        <v>0</v>
      </c>
      <c r="N43" s="5" t="s">
        <v>119</v>
      </c>
      <c r="O43" t="s">
        <v>165</v>
      </c>
      <c r="P43">
        <f t="shared" si="0"/>
        <v>-275</v>
      </c>
    </row>
    <row r="44" spans="1:16" x14ac:dyDescent="0.3">
      <c r="A44" s="5">
        <v>658585</v>
      </c>
      <c r="B44" s="6">
        <v>46026</v>
      </c>
      <c r="C44" s="7">
        <v>46026.963368055556</v>
      </c>
      <c r="D44" s="5" t="s">
        <v>242</v>
      </c>
      <c r="E44" s="8">
        <v>109.8</v>
      </c>
      <c r="F44" s="5" t="s">
        <v>48</v>
      </c>
      <c r="G44" s="5" t="s">
        <v>243</v>
      </c>
      <c r="H44" s="6">
        <v>46113</v>
      </c>
      <c r="I44" s="9">
        <v>237607.2</v>
      </c>
      <c r="J44" s="9">
        <v>2164</v>
      </c>
      <c r="K44" s="9">
        <v>2164</v>
      </c>
      <c r="L44" s="9">
        <v>237607.2</v>
      </c>
      <c r="N44" s="5" t="s">
        <v>119</v>
      </c>
      <c r="O44" t="s">
        <v>165</v>
      </c>
      <c r="P44">
        <f t="shared" si="0"/>
        <v>0</v>
      </c>
    </row>
    <row r="45" spans="1:16" x14ac:dyDescent="0.3">
      <c r="A45" s="5">
        <v>658585</v>
      </c>
      <c r="B45" s="6">
        <v>46026</v>
      </c>
      <c r="C45" s="7">
        <v>46026.963368055556</v>
      </c>
      <c r="D45" s="5" t="s">
        <v>244</v>
      </c>
      <c r="E45" s="8">
        <v>40.950000000000003</v>
      </c>
      <c r="F45" s="5" t="s">
        <v>49</v>
      </c>
      <c r="G45" s="5" t="s">
        <v>245</v>
      </c>
      <c r="H45" s="6">
        <v>46113</v>
      </c>
      <c r="I45" s="9">
        <v>210237.3</v>
      </c>
      <c r="J45" s="9">
        <v>5134</v>
      </c>
      <c r="K45" s="9">
        <v>5134</v>
      </c>
      <c r="L45" s="9">
        <v>210237.3</v>
      </c>
      <c r="N45" s="5" t="s">
        <v>120</v>
      </c>
      <c r="O45" t="s">
        <v>165</v>
      </c>
      <c r="P45">
        <f t="shared" si="0"/>
        <v>0</v>
      </c>
    </row>
    <row r="46" spans="1:16" x14ac:dyDescent="0.3">
      <c r="A46" s="5">
        <v>658585</v>
      </c>
      <c r="B46" s="6">
        <v>46026</v>
      </c>
      <c r="C46" s="7">
        <v>46026.963368055556</v>
      </c>
      <c r="D46" s="5" t="s">
        <v>246</v>
      </c>
      <c r="E46" s="8">
        <v>12.33</v>
      </c>
      <c r="F46" s="5" t="s">
        <v>50</v>
      </c>
      <c r="G46" s="5" t="s">
        <v>247</v>
      </c>
      <c r="H46" s="6">
        <v>46113</v>
      </c>
      <c r="I46" s="9">
        <v>-11787.48</v>
      </c>
      <c r="J46" s="8">
        <v>-956</v>
      </c>
      <c r="K46" s="8">
        <v>0</v>
      </c>
      <c r="L46" s="8">
        <v>0</v>
      </c>
      <c r="N46" s="5" t="s">
        <v>121</v>
      </c>
      <c r="O46" t="s">
        <v>165</v>
      </c>
      <c r="P46">
        <f t="shared" si="0"/>
        <v>-956</v>
      </c>
    </row>
    <row r="47" spans="1:16" x14ac:dyDescent="0.3">
      <c r="A47" s="5">
        <v>658585</v>
      </c>
      <c r="B47" s="6">
        <v>46026</v>
      </c>
      <c r="C47" s="7">
        <v>46026.963368055556</v>
      </c>
      <c r="D47" s="5" t="s">
        <v>246</v>
      </c>
      <c r="E47" s="8">
        <v>12.33</v>
      </c>
      <c r="F47" s="5" t="s">
        <v>50</v>
      </c>
      <c r="G47" s="5" t="s">
        <v>247</v>
      </c>
      <c r="H47" s="6">
        <v>46113</v>
      </c>
      <c r="I47" s="9">
        <v>11787.48</v>
      </c>
      <c r="J47" s="8">
        <v>956</v>
      </c>
      <c r="K47" s="8">
        <v>956</v>
      </c>
      <c r="L47" s="9">
        <v>11787.48</v>
      </c>
      <c r="N47" s="5" t="s">
        <v>121</v>
      </c>
      <c r="O47" t="s">
        <v>165</v>
      </c>
      <c r="P47">
        <f t="shared" si="0"/>
        <v>0</v>
      </c>
    </row>
    <row r="48" spans="1:16" x14ac:dyDescent="0.3">
      <c r="A48" s="5">
        <v>658585</v>
      </c>
      <c r="B48" s="6">
        <v>46026</v>
      </c>
      <c r="C48" s="7">
        <v>46026.963368055556</v>
      </c>
      <c r="D48" s="5" t="s">
        <v>248</v>
      </c>
      <c r="E48" s="8">
        <v>894.78</v>
      </c>
      <c r="F48" s="5" t="s">
        <v>51</v>
      </c>
      <c r="G48" s="5" t="s">
        <v>249</v>
      </c>
      <c r="H48" s="6">
        <v>46113</v>
      </c>
      <c r="I48" s="9">
        <v>110057.94</v>
      </c>
      <c r="J48" s="8">
        <v>123</v>
      </c>
      <c r="K48" s="8">
        <v>123</v>
      </c>
      <c r="L48" s="9">
        <v>110057.94</v>
      </c>
      <c r="N48" s="5" t="s">
        <v>122</v>
      </c>
      <c r="O48" t="s">
        <v>165</v>
      </c>
      <c r="P48">
        <f t="shared" si="0"/>
        <v>0</v>
      </c>
    </row>
    <row r="49" spans="1:16" x14ac:dyDescent="0.3">
      <c r="A49" s="5">
        <v>658585</v>
      </c>
      <c r="B49" s="6">
        <v>46026</v>
      </c>
      <c r="C49" s="7">
        <v>46026.963368055556</v>
      </c>
      <c r="D49" s="5" t="s">
        <v>250</v>
      </c>
      <c r="E49" s="8">
        <v>158.81</v>
      </c>
      <c r="F49" s="5" t="s">
        <v>52</v>
      </c>
      <c r="G49" s="5" t="s">
        <v>251</v>
      </c>
      <c r="H49" s="6">
        <v>46113</v>
      </c>
      <c r="I49" s="9">
        <v>12863.61</v>
      </c>
      <c r="J49" s="8">
        <v>81</v>
      </c>
      <c r="K49" s="8">
        <v>81</v>
      </c>
      <c r="L49" s="9">
        <v>12863.61</v>
      </c>
      <c r="N49" s="5" t="s">
        <v>123</v>
      </c>
      <c r="O49" t="s">
        <v>165</v>
      </c>
      <c r="P49">
        <f t="shared" si="0"/>
        <v>0</v>
      </c>
    </row>
    <row r="50" spans="1:16" x14ac:dyDescent="0.3">
      <c r="A50" s="5">
        <v>658585</v>
      </c>
      <c r="B50" s="6">
        <v>46026</v>
      </c>
      <c r="C50" s="7">
        <v>46026.963368055556</v>
      </c>
      <c r="D50" s="5" t="s">
        <v>252</v>
      </c>
      <c r="E50" s="8">
        <v>209.49</v>
      </c>
      <c r="F50" s="5" t="s">
        <v>53</v>
      </c>
      <c r="G50" s="5" t="s">
        <v>253</v>
      </c>
      <c r="H50" s="6">
        <v>46113</v>
      </c>
      <c r="I50" s="9">
        <v>15502.26</v>
      </c>
      <c r="J50" s="8">
        <v>74</v>
      </c>
      <c r="K50" s="8">
        <v>74</v>
      </c>
      <c r="L50" s="9">
        <v>15502.26</v>
      </c>
      <c r="N50" s="5" t="s">
        <v>124</v>
      </c>
      <c r="O50" t="s">
        <v>165</v>
      </c>
      <c r="P50">
        <f t="shared" si="0"/>
        <v>0</v>
      </c>
    </row>
    <row r="51" spans="1:16" x14ac:dyDescent="0.3">
      <c r="A51" s="5">
        <v>658585</v>
      </c>
      <c r="B51" s="6">
        <v>46026</v>
      </c>
      <c r="C51" s="7">
        <v>46026.963368055556</v>
      </c>
      <c r="D51" s="5" t="s">
        <v>254</v>
      </c>
      <c r="E51" s="8">
        <v>17.079999999999998</v>
      </c>
      <c r="F51" s="5" t="s">
        <v>54</v>
      </c>
      <c r="G51" s="5" t="s">
        <v>255</v>
      </c>
      <c r="H51" s="6">
        <v>46113</v>
      </c>
      <c r="I51" s="9">
        <v>35355.599999999999</v>
      </c>
      <c r="J51" s="9">
        <v>2070</v>
      </c>
      <c r="K51" s="9">
        <v>2070</v>
      </c>
      <c r="L51" s="9">
        <v>35355.599999999999</v>
      </c>
      <c r="N51" s="5" t="s">
        <v>125</v>
      </c>
      <c r="O51" t="s">
        <v>165</v>
      </c>
      <c r="P51">
        <f t="shared" si="0"/>
        <v>0</v>
      </c>
    </row>
    <row r="52" spans="1:16" x14ac:dyDescent="0.3">
      <c r="A52" s="5">
        <v>658585</v>
      </c>
      <c r="B52" s="6">
        <v>46026</v>
      </c>
      <c r="C52" s="7">
        <v>46026.963368055556</v>
      </c>
      <c r="D52" s="5" t="s">
        <v>256</v>
      </c>
      <c r="E52" s="8">
        <v>320.37</v>
      </c>
      <c r="F52" s="5" t="s">
        <v>55</v>
      </c>
      <c r="G52" s="5" t="s">
        <v>257</v>
      </c>
      <c r="H52" s="6">
        <v>46113</v>
      </c>
      <c r="I52" s="9">
        <v>737812.11</v>
      </c>
      <c r="J52" s="9">
        <v>2303</v>
      </c>
      <c r="K52" s="9">
        <v>2303</v>
      </c>
      <c r="L52" s="9">
        <v>737812.11</v>
      </c>
      <c r="N52" s="5" t="s">
        <v>126</v>
      </c>
      <c r="O52" t="s">
        <v>165</v>
      </c>
      <c r="P52">
        <f t="shared" si="0"/>
        <v>0</v>
      </c>
    </row>
    <row r="53" spans="1:16" x14ac:dyDescent="0.3">
      <c r="A53" s="5">
        <v>658585</v>
      </c>
      <c r="B53" s="6">
        <v>46026</v>
      </c>
      <c r="C53" s="7">
        <v>46026.963368055556</v>
      </c>
      <c r="D53" s="5" t="s">
        <v>256</v>
      </c>
      <c r="E53" s="8">
        <v>320.37</v>
      </c>
      <c r="F53" s="5" t="s">
        <v>55</v>
      </c>
      <c r="G53" s="5" t="s">
        <v>257</v>
      </c>
      <c r="H53" s="6">
        <v>46113</v>
      </c>
      <c r="I53" s="9">
        <v>1794072</v>
      </c>
      <c r="J53" s="9">
        <v>5600</v>
      </c>
      <c r="K53" s="9">
        <v>5600</v>
      </c>
      <c r="L53" s="9">
        <v>1794072</v>
      </c>
      <c r="N53" s="5" t="s">
        <v>126</v>
      </c>
      <c r="O53" t="s">
        <v>165</v>
      </c>
      <c r="P53">
        <f t="shared" si="0"/>
        <v>0</v>
      </c>
    </row>
    <row r="54" spans="1:16" x14ac:dyDescent="0.3">
      <c r="A54" s="5">
        <v>658585</v>
      </c>
      <c r="B54" s="6">
        <v>46026</v>
      </c>
      <c r="C54" s="7">
        <v>46026.963368055556</v>
      </c>
      <c r="D54" s="5" t="s">
        <v>258</v>
      </c>
      <c r="E54" s="8">
        <v>474.75</v>
      </c>
      <c r="F54" s="5" t="s">
        <v>56</v>
      </c>
      <c r="G54" s="5" t="s">
        <v>259</v>
      </c>
      <c r="H54" s="6">
        <v>46113</v>
      </c>
      <c r="I54" s="9">
        <v>127707.75</v>
      </c>
      <c r="J54" s="8">
        <v>269</v>
      </c>
      <c r="K54" s="8">
        <v>269</v>
      </c>
      <c r="L54" s="9">
        <v>127707.75</v>
      </c>
      <c r="N54" s="5" t="s">
        <v>127</v>
      </c>
      <c r="O54" t="s">
        <v>165</v>
      </c>
      <c r="P54">
        <f t="shared" si="0"/>
        <v>0</v>
      </c>
    </row>
    <row r="55" spans="1:16" x14ac:dyDescent="0.3">
      <c r="A55" s="5">
        <v>658585</v>
      </c>
      <c r="B55" s="6">
        <v>46026</v>
      </c>
      <c r="C55" s="7">
        <v>46026.963368055556</v>
      </c>
      <c r="D55" s="5" t="s">
        <v>260</v>
      </c>
      <c r="E55" s="8">
        <v>92.85</v>
      </c>
      <c r="F55" s="5" t="s">
        <v>57</v>
      </c>
      <c r="G55" s="5" t="s">
        <v>261</v>
      </c>
      <c r="H55" s="6">
        <v>46113</v>
      </c>
      <c r="I55" s="9">
        <v>55710</v>
      </c>
      <c r="J55" s="8">
        <v>600</v>
      </c>
      <c r="K55" s="8">
        <v>600</v>
      </c>
      <c r="L55" s="9">
        <v>55710</v>
      </c>
      <c r="N55" s="5" t="s">
        <v>128</v>
      </c>
      <c r="O55" t="s">
        <v>165</v>
      </c>
      <c r="P55">
        <f t="shared" si="0"/>
        <v>0</v>
      </c>
    </row>
    <row r="56" spans="1:16" x14ac:dyDescent="0.3">
      <c r="A56" s="5">
        <v>658585</v>
      </c>
      <c r="B56" s="6">
        <v>46026</v>
      </c>
      <c r="C56" s="7">
        <v>46026.963368055556</v>
      </c>
      <c r="D56" s="5" t="s">
        <v>262</v>
      </c>
      <c r="E56" s="8">
        <v>291.97000000000003</v>
      </c>
      <c r="F56" s="5" t="s">
        <v>58</v>
      </c>
      <c r="G56" s="5" t="s">
        <v>263</v>
      </c>
      <c r="H56" s="6">
        <v>46113</v>
      </c>
      <c r="I56" s="9">
        <v>66861.13</v>
      </c>
      <c r="J56" s="8">
        <v>229</v>
      </c>
      <c r="K56" s="8">
        <v>229</v>
      </c>
      <c r="L56" s="9">
        <v>48148.3</v>
      </c>
      <c r="N56" s="5" t="s">
        <v>129</v>
      </c>
      <c r="O56" t="s">
        <v>264</v>
      </c>
      <c r="P56">
        <f t="shared" si="0"/>
        <v>0</v>
      </c>
    </row>
    <row r="57" spans="1:16" x14ac:dyDescent="0.3">
      <c r="A57" s="5">
        <v>658585</v>
      </c>
      <c r="B57" s="6">
        <v>46026</v>
      </c>
      <c r="C57" s="7">
        <v>46026.963368055556</v>
      </c>
      <c r="D57" s="5" t="s">
        <v>265</v>
      </c>
      <c r="E57" s="8">
        <v>295.38</v>
      </c>
      <c r="F57" s="5" t="s">
        <v>59</v>
      </c>
      <c r="G57" s="5" t="s">
        <v>266</v>
      </c>
      <c r="H57" s="6">
        <v>46113</v>
      </c>
      <c r="I57" s="9">
        <v>39285.54</v>
      </c>
      <c r="J57" s="8">
        <v>133</v>
      </c>
      <c r="K57" s="8">
        <v>133</v>
      </c>
      <c r="L57" s="9">
        <v>39285.54</v>
      </c>
      <c r="N57" s="5" t="s">
        <v>130</v>
      </c>
      <c r="O57" t="s">
        <v>165</v>
      </c>
      <c r="P57">
        <f t="shared" si="0"/>
        <v>0</v>
      </c>
    </row>
    <row r="58" spans="1:16" x14ac:dyDescent="0.3">
      <c r="A58" s="5">
        <v>658585</v>
      </c>
      <c r="B58" s="6">
        <v>46026</v>
      </c>
      <c r="C58" s="7">
        <v>46026.963368055556</v>
      </c>
      <c r="D58" s="5" t="s">
        <v>267</v>
      </c>
      <c r="E58" s="8">
        <v>200.1</v>
      </c>
      <c r="F58" s="5" t="s">
        <v>60</v>
      </c>
      <c r="G58" s="5" t="s">
        <v>268</v>
      </c>
      <c r="H58" s="6">
        <v>46113</v>
      </c>
      <c r="I58" s="9">
        <v>264732.3</v>
      </c>
      <c r="J58" s="9">
        <v>1323</v>
      </c>
      <c r="K58" s="9">
        <v>1323</v>
      </c>
      <c r="L58" s="9">
        <v>264732.3</v>
      </c>
      <c r="N58" s="5" t="s">
        <v>131</v>
      </c>
      <c r="O58" t="s">
        <v>165</v>
      </c>
      <c r="P58">
        <f t="shared" si="0"/>
        <v>0</v>
      </c>
    </row>
    <row r="59" spans="1:16" x14ac:dyDescent="0.3">
      <c r="A59" s="5">
        <v>658585</v>
      </c>
      <c r="B59" s="6">
        <v>46026</v>
      </c>
      <c r="C59" s="7">
        <v>46026.963368055556</v>
      </c>
      <c r="D59" s="5" t="s">
        <v>269</v>
      </c>
      <c r="E59" s="8">
        <v>381.26</v>
      </c>
      <c r="F59" s="5" t="s">
        <v>61</v>
      </c>
      <c r="G59" s="5" t="s">
        <v>270</v>
      </c>
      <c r="H59" s="6">
        <v>46113</v>
      </c>
      <c r="I59" s="9">
        <v>158604.16</v>
      </c>
      <c r="J59" s="8">
        <v>416</v>
      </c>
      <c r="K59" s="8">
        <v>416</v>
      </c>
      <c r="L59" s="9">
        <v>158604.16</v>
      </c>
      <c r="N59" s="5" t="s">
        <v>132</v>
      </c>
      <c r="O59" t="s">
        <v>165</v>
      </c>
      <c r="P59">
        <f t="shared" si="0"/>
        <v>0</v>
      </c>
    </row>
    <row r="60" spans="1:16" x14ac:dyDescent="0.3">
      <c r="A60" s="5">
        <v>658585</v>
      </c>
      <c r="B60" s="6">
        <v>46026</v>
      </c>
      <c r="C60" s="7">
        <v>46026.963368055556</v>
      </c>
      <c r="D60" s="5" t="s">
        <v>271</v>
      </c>
      <c r="E60" s="8">
        <v>9.2799999999999994</v>
      </c>
      <c r="F60" s="5" t="s">
        <v>62</v>
      </c>
      <c r="G60" s="5" t="s">
        <v>272</v>
      </c>
      <c r="H60" s="6">
        <v>46113</v>
      </c>
      <c r="I60" s="9">
        <v>16351.36</v>
      </c>
      <c r="J60" s="9">
        <v>1762</v>
      </c>
      <c r="K60" s="8">
        <v>0</v>
      </c>
      <c r="L60" s="8">
        <v>0</v>
      </c>
      <c r="N60" s="5" t="s">
        <v>133</v>
      </c>
      <c r="O60" t="s">
        <v>165</v>
      </c>
      <c r="P60">
        <f t="shared" si="0"/>
        <v>1762</v>
      </c>
    </row>
    <row r="61" spans="1:16" x14ac:dyDescent="0.3">
      <c r="A61" s="5">
        <v>658585</v>
      </c>
      <c r="B61" s="6">
        <v>46026</v>
      </c>
      <c r="C61" s="7">
        <v>46026.963368055556</v>
      </c>
      <c r="D61" s="5" t="s">
        <v>273</v>
      </c>
      <c r="E61" s="8">
        <v>175.75</v>
      </c>
      <c r="F61" s="5" t="s">
        <v>63</v>
      </c>
      <c r="G61" s="5" t="s">
        <v>274</v>
      </c>
      <c r="H61" s="6">
        <v>46113</v>
      </c>
      <c r="I61" s="9">
        <v>563454.5</v>
      </c>
      <c r="J61" s="9">
        <v>3206</v>
      </c>
      <c r="K61" s="9">
        <v>3206</v>
      </c>
      <c r="L61" s="9">
        <v>563454.5</v>
      </c>
      <c r="N61" s="5" t="s">
        <v>134</v>
      </c>
      <c r="O61" t="s">
        <v>165</v>
      </c>
      <c r="P61">
        <f t="shared" si="0"/>
        <v>0</v>
      </c>
    </row>
    <row r="62" spans="1:16" x14ac:dyDescent="0.3">
      <c r="A62" s="5">
        <v>658585</v>
      </c>
      <c r="B62" s="6">
        <v>46026</v>
      </c>
      <c r="C62" s="7">
        <v>46026.963368055556</v>
      </c>
      <c r="D62" s="5" t="s">
        <v>275</v>
      </c>
      <c r="E62" s="8">
        <v>157.33000000000001</v>
      </c>
      <c r="F62" s="5" t="s">
        <v>64</v>
      </c>
      <c r="G62" s="5" t="s">
        <v>276</v>
      </c>
      <c r="H62" s="6">
        <v>46113</v>
      </c>
      <c r="I62" s="9">
        <v>62617.34</v>
      </c>
      <c r="J62" s="8">
        <v>398</v>
      </c>
      <c r="K62" s="8">
        <v>519</v>
      </c>
      <c r="L62" s="9">
        <v>81654.27</v>
      </c>
      <c r="N62" s="5" t="s">
        <v>135</v>
      </c>
      <c r="O62" t="s">
        <v>165</v>
      </c>
      <c r="P62">
        <f t="shared" si="0"/>
        <v>-121</v>
      </c>
    </row>
    <row r="63" spans="1:16" x14ac:dyDescent="0.3">
      <c r="A63" s="5">
        <v>658585</v>
      </c>
      <c r="B63" s="6">
        <v>46026</v>
      </c>
      <c r="C63" s="7">
        <v>46026.963368055556</v>
      </c>
      <c r="D63" s="5" t="s">
        <v>277</v>
      </c>
      <c r="E63" s="8">
        <v>40.49</v>
      </c>
      <c r="F63" s="5" t="s">
        <v>65</v>
      </c>
      <c r="G63" s="5" t="s">
        <v>278</v>
      </c>
      <c r="H63" s="6">
        <v>46113</v>
      </c>
      <c r="I63" s="9">
        <v>93734.35</v>
      </c>
      <c r="J63" s="9">
        <v>2315</v>
      </c>
      <c r="K63" s="9">
        <v>2315</v>
      </c>
      <c r="L63" s="9">
        <v>93734.35</v>
      </c>
      <c r="N63" s="5" t="s">
        <v>136</v>
      </c>
      <c r="O63" t="s">
        <v>165</v>
      </c>
      <c r="P63">
        <f t="shared" si="0"/>
        <v>0</v>
      </c>
    </row>
    <row r="64" spans="1:16" x14ac:dyDescent="0.3">
      <c r="A64" s="5">
        <v>658585</v>
      </c>
      <c r="B64" s="6">
        <v>46026</v>
      </c>
      <c r="C64" s="7">
        <v>46026.963368055556</v>
      </c>
      <c r="D64" s="5" t="s">
        <v>279</v>
      </c>
      <c r="E64" s="8">
        <v>77.52</v>
      </c>
      <c r="F64" s="5" t="s">
        <v>66</v>
      </c>
      <c r="G64" s="5" t="s">
        <v>280</v>
      </c>
      <c r="H64" s="6">
        <v>46113</v>
      </c>
      <c r="I64" s="9">
        <v>38760</v>
      </c>
      <c r="J64" s="8">
        <v>500</v>
      </c>
      <c r="K64" s="8">
        <v>500</v>
      </c>
      <c r="L64" s="9">
        <v>38760</v>
      </c>
      <c r="N64" s="5" t="s">
        <v>137</v>
      </c>
      <c r="O64" t="s">
        <v>165</v>
      </c>
      <c r="P64">
        <f t="shared" si="0"/>
        <v>0</v>
      </c>
    </row>
    <row r="65" spans="1:16" x14ac:dyDescent="0.3">
      <c r="A65" s="5">
        <v>658585</v>
      </c>
      <c r="B65" s="6">
        <v>46026</v>
      </c>
      <c r="C65" s="7">
        <v>46026.963368055556</v>
      </c>
      <c r="D65" s="5" t="s">
        <v>281</v>
      </c>
      <c r="E65" s="8">
        <v>49.44</v>
      </c>
      <c r="F65" s="5" t="s">
        <v>67</v>
      </c>
      <c r="G65" s="5" t="s">
        <v>282</v>
      </c>
      <c r="H65" s="6">
        <v>46113</v>
      </c>
      <c r="I65" s="9">
        <v>682766.4</v>
      </c>
      <c r="J65" s="9">
        <v>13810</v>
      </c>
      <c r="K65" s="9">
        <v>13810</v>
      </c>
      <c r="L65" s="9">
        <v>682766.4</v>
      </c>
      <c r="N65" s="5" t="s">
        <v>138</v>
      </c>
      <c r="O65" t="s">
        <v>165</v>
      </c>
      <c r="P65">
        <f t="shared" si="0"/>
        <v>0</v>
      </c>
    </row>
    <row r="66" spans="1:16" x14ac:dyDescent="0.3">
      <c r="A66" s="5">
        <v>658585</v>
      </c>
      <c r="B66" s="6">
        <v>46026</v>
      </c>
      <c r="C66" s="7">
        <v>46026.963368055556</v>
      </c>
      <c r="D66" s="5" t="s">
        <v>283</v>
      </c>
      <c r="E66" s="8">
        <v>97.23</v>
      </c>
      <c r="F66" s="5" t="s">
        <v>68</v>
      </c>
      <c r="G66" s="5" t="s">
        <v>284</v>
      </c>
      <c r="H66" s="6">
        <v>46113</v>
      </c>
      <c r="I66" s="9">
        <v>10792.53</v>
      </c>
      <c r="J66" s="8">
        <v>111</v>
      </c>
      <c r="K66" s="8">
        <v>0</v>
      </c>
      <c r="L66" s="8">
        <v>0</v>
      </c>
      <c r="N66" s="5" t="s">
        <v>139</v>
      </c>
      <c r="O66" t="s">
        <v>165</v>
      </c>
      <c r="P66">
        <f t="shared" si="0"/>
        <v>111</v>
      </c>
    </row>
    <row r="67" spans="1:16" x14ac:dyDescent="0.3">
      <c r="A67" s="5">
        <v>658585</v>
      </c>
      <c r="B67" s="6">
        <v>46026</v>
      </c>
      <c r="C67" s="7">
        <v>46026.963368055556</v>
      </c>
      <c r="D67" s="5" t="s">
        <v>285</v>
      </c>
      <c r="E67" s="8">
        <v>153.96</v>
      </c>
      <c r="F67" s="5" t="s">
        <v>69</v>
      </c>
      <c r="G67" s="5" t="s">
        <v>286</v>
      </c>
      <c r="H67" s="6">
        <v>46113</v>
      </c>
      <c r="I67" s="9">
        <v>64663.199999999997</v>
      </c>
      <c r="J67" s="8">
        <v>420</v>
      </c>
      <c r="K67" s="8">
        <v>420</v>
      </c>
      <c r="L67" s="9">
        <v>64663.199999999997</v>
      </c>
      <c r="N67" s="5" t="s">
        <v>140</v>
      </c>
      <c r="O67" t="s">
        <v>165</v>
      </c>
      <c r="P67">
        <f t="shared" ref="P67:P78" si="1">+J67-K67</f>
        <v>0</v>
      </c>
    </row>
    <row r="68" spans="1:16" x14ac:dyDescent="0.3">
      <c r="A68" s="5">
        <v>658585</v>
      </c>
      <c r="B68" s="6">
        <v>46026</v>
      </c>
      <c r="C68" s="7">
        <v>46026.963368055556</v>
      </c>
      <c r="D68" s="5" t="s">
        <v>287</v>
      </c>
      <c r="E68" s="8">
        <v>259.37</v>
      </c>
      <c r="F68" s="5" t="s">
        <v>70</v>
      </c>
      <c r="G68" s="5" t="s">
        <v>288</v>
      </c>
      <c r="H68" s="6">
        <v>46113</v>
      </c>
      <c r="I68" s="9">
        <v>7781.1</v>
      </c>
      <c r="J68" s="8">
        <v>30</v>
      </c>
      <c r="K68" s="8">
        <v>30</v>
      </c>
      <c r="L68" s="9">
        <v>7781.1</v>
      </c>
      <c r="N68" s="5" t="s">
        <v>141</v>
      </c>
      <c r="O68" t="s">
        <v>165</v>
      </c>
      <c r="P68">
        <f t="shared" si="1"/>
        <v>0</v>
      </c>
    </row>
    <row r="69" spans="1:16" x14ac:dyDescent="0.3">
      <c r="A69" s="5">
        <v>658585</v>
      </c>
      <c r="B69" s="6">
        <v>46026</v>
      </c>
      <c r="C69" s="7">
        <v>46026.963368055556</v>
      </c>
      <c r="D69" s="5" t="s">
        <v>289</v>
      </c>
      <c r="E69" s="8">
        <v>124.85</v>
      </c>
      <c r="F69" s="5" t="s">
        <v>71</v>
      </c>
      <c r="G69" s="5" t="s">
        <v>290</v>
      </c>
      <c r="H69" s="6">
        <v>46113</v>
      </c>
      <c r="I69" s="9">
        <v>77656.7</v>
      </c>
      <c r="J69" s="8">
        <v>622</v>
      </c>
      <c r="K69" s="8">
        <v>622</v>
      </c>
      <c r="L69" s="9">
        <v>77656.7</v>
      </c>
      <c r="N69" s="5" t="s">
        <v>142</v>
      </c>
      <c r="O69" t="s">
        <v>165</v>
      </c>
      <c r="P69">
        <f t="shared" si="1"/>
        <v>0</v>
      </c>
    </row>
    <row r="70" spans="1:16" x14ac:dyDescent="0.3">
      <c r="A70" s="5">
        <v>658585</v>
      </c>
      <c r="B70" s="6">
        <v>46026</v>
      </c>
      <c r="C70" s="7">
        <v>46026.963368055556</v>
      </c>
      <c r="D70" s="5" t="s">
        <v>291</v>
      </c>
      <c r="E70" s="8">
        <v>210.57</v>
      </c>
      <c r="F70" s="5" t="s">
        <v>72</v>
      </c>
      <c r="G70" s="5" t="s">
        <v>292</v>
      </c>
      <c r="H70" s="6">
        <v>46113</v>
      </c>
      <c r="I70" s="9">
        <v>272688.15000000002</v>
      </c>
      <c r="J70" s="9">
        <v>1295</v>
      </c>
      <c r="K70" s="9">
        <v>1391</v>
      </c>
      <c r="L70" s="9">
        <v>292902.87</v>
      </c>
      <c r="N70" s="5" t="s">
        <v>143</v>
      </c>
      <c r="O70" t="s">
        <v>165</v>
      </c>
      <c r="P70">
        <f t="shared" si="1"/>
        <v>-96</v>
      </c>
    </row>
    <row r="71" spans="1:16" x14ac:dyDescent="0.3">
      <c r="A71" s="5">
        <v>658585</v>
      </c>
      <c r="B71" s="6">
        <v>46026</v>
      </c>
      <c r="C71" s="7">
        <v>46026.963368055556</v>
      </c>
      <c r="D71" s="5" t="s">
        <v>293</v>
      </c>
      <c r="E71" s="8">
        <v>142.38</v>
      </c>
      <c r="F71" s="5" t="s">
        <v>73</v>
      </c>
      <c r="G71" s="5" t="s">
        <v>294</v>
      </c>
      <c r="H71" s="6">
        <v>46113</v>
      </c>
      <c r="I71" s="9">
        <v>137966.22</v>
      </c>
      <c r="J71" s="8">
        <v>969</v>
      </c>
      <c r="K71" s="8">
        <v>969</v>
      </c>
      <c r="L71" s="9">
        <v>137966.22</v>
      </c>
      <c r="N71" s="5" t="s">
        <v>144</v>
      </c>
      <c r="O71" t="s">
        <v>165</v>
      </c>
      <c r="P71">
        <f t="shared" si="1"/>
        <v>0</v>
      </c>
    </row>
    <row r="72" spans="1:16" x14ac:dyDescent="0.3">
      <c r="A72" s="5">
        <v>658585</v>
      </c>
      <c r="B72" s="6">
        <v>46026</v>
      </c>
      <c r="C72" s="7">
        <v>46026.963368055556</v>
      </c>
      <c r="D72" s="5" t="s">
        <v>295</v>
      </c>
      <c r="E72" s="8">
        <v>298.51</v>
      </c>
      <c r="F72" s="5" t="s">
        <v>74</v>
      </c>
      <c r="G72" s="5" t="s">
        <v>296</v>
      </c>
      <c r="H72" s="6">
        <v>46113</v>
      </c>
      <c r="I72" s="9">
        <v>28955.47</v>
      </c>
      <c r="J72" s="8">
        <v>97</v>
      </c>
      <c r="K72" s="8">
        <v>97</v>
      </c>
      <c r="L72" s="9">
        <v>28955.47</v>
      </c>
      <c r="N72" s="5" t="s">
        <v>145</v>
      </c>
      <c r="O72" t="s">
        <v>165</v>
      </c>
      <c r="P72">
        <f t="shared" si="1"/>
        <v>0</v>
      </c>
    </row>
    <row r="73" spans="1:16" x14ac:dyDescent="0.3">
      <c r="A73" s="5">
        <v>658585</v>
      </c>
      <c r="B73" s="6">
        <v>46026</v>
      </c>
      <c r="C73" s="7">
        <v>46026.963368055556</v>
      </c>
      <c r="D73" s="5" t="s">
        <v>297</v>
      </c>
      <c r="E73" s="8">
        <v>111.24</v>
      </c>
      <c r="F73" s="5" t="s">
        <v>75</v>
      </c>
      <c r="G73" s="5" t="s">
        <v>298</v>
      </c>
      <c r="H73" s="6">
        <v>46113</v>
      </c>
      <c r="I73" s="9">
        <v>107791.56</v>
      </c>
      <c r="J73" s="8">
        <v>969</v>
      </c>
      <c r="K73" s="8">
        <v>969</v>
      </c>
      <c r="L73" s="9">
        <v>107791.56</v>
      </c>
      <c r="N73" s="5" t="s">
        <v>146</v>
      </c>
      <c r="O73" t="s">
        <v>165</v>
      </c>
      <c r="P73">
        <f t="shared" si="1"/>
        <v>0</v>
      </c>
    </row>
    <row r="74" spans="1:16" x14ac:dyDescent="0.3">
      <c r="A74" s="5">
        <v>658585</v>
      </c>
      <c r="B74" s="6">
        <v>46026</v>
      </c>
      <c r="C74" s="7">
        <v>46026.963368055556</v>
      </c>
      <c r="D74" s="5" t="s">
        <v>299</v>
      </c>
      <c r="E74" s="8">
        <v>12.24</v>
      </c>
      <c r="F74" s="5" t="s">
        <v>76</v>
      </c>
      <c r="G74" s="5" t="s">
        <v>300</v>
      </c>
      <c r="H74" s="6">
        <v>46113</v>
      </c>
      <c r="I74" s="9">
        <v>15752.88</v>
      </c>
      <c r="J74" s="9">
        <v>1287</v>
      </c>
      <c r="K74" s="8">
        <v>0</v>
      </c>
      <c r="L74" s="8">
        <v>0</v>
      </c>
      <c r="N74" s="5" t="s">
        <v>147</v>
      </c>
      <c r="O74" t="s">
        <v>165</v>
      </c>
      <c r="P74">
        <f t="shared" si="1"/>
        <v>1287</v>
      </c>
    </row>
    <row r="75" spans="1:16" x14ac:dyDescent="0.3">
      <c r="A75" s="5">
        <v>658585</v>
      </c>
      <c r="B75" s="6">
        <v>46026</v>
      </c>
      <c r="C75" s="7">
        <v>46026.963368055556</v>
      </c>
      <c r="D75" s="5" t="s">
        <v>301</v>
      </c>
      <c r="E75" s="8">
        <v>197.06</v>
      </c>
      <c r="F75" s="5" t="s">
        <v>77</v>
      </c>
      <c r="G75" s="5" t="s">
        <v>302</v>
      </c>
      <c r="H75" s="6">
        <v>46113</v>
      </c>
      <c r="I75" s="9">
        <v>19706</v>
      </c>
      <c r="J75" s="8">
        <v>100</v>
      </c>
      <c r="K75" s="8">
        <v>100</v>
      </c>
      <c r="L75" s="9">
        <v>19706</v>
      </c>
      <c r="N75" s="5" t="s">
        <v>148</v>
      </c>
      <c r="O75" t="s">
        <v>165</v>
      </c>
      <c r="P75">
        <f t="shared" si="1"/>
        <v>0</v>
      </c>
    </row>
    <row r="76" spans="1:16" x14ac:dyDescent="0.3">
      <c r="A76" s="5">
        <v>658585</v>
      </c>
      <c r="B76" s="6">
        <v>46026</v>
      </c>
      <c r="C76" s="7">
        <v>46026.963368055556</v>
      </c>
      <c r="D76" s="5" t="s">
        <v>303</v>
      </c>
      <c r="E76" s="8">
        <v>54.93</v>
      </c>
      <c r="F76" s="5" t="s">
        <v>78</v>
      </c>
      <c r="G76" s="5" t="s">
        <v>304</v>
      </c>
      <c r="H76" s="6">
        <v>46113</v>
      </c>
      <c r="I76" s="9">
        <v>3460.59</v>
      </c>
      <c r="J76" s="8">
        <v>63</v>
      </c>
      <c r="K76" s="8">
        <v>63</v>
      </c>
      <c r="L76" s="9">
        <v>3460.59</v>
      </c>
      <c r="N76" s="5" t="s">
        <v>149</v>
      </c>
      <c r="O76" t="s">
        <v>165</v>
      </c>
      <c r="P76">
        <f t="shared" si="1"/>
        <v>0</v>
      </c>
    </row>
    <row r="77" spans="1:16" x14ac:dyDescent="0.3">
      <c r="A77" s="5">
        <v>658585</v>
      </c>
      <c r="B77" s="6">
        <v>46026</v>
      </c>
      <c r="C77" s="7">
        <v>46026.963368055556</v>
      </c>
      <c r="D77" s="5" t="s">
        <v>303</v>
      </c>
      <c r="E77" s="8">
        <v>54.93</v>
      </c>
      <c r="F77" s="5" t="s">
        <v>78</v>
      </c>
      <c r="G77" s="5" t="s">
        <v>304</v>
      </c>
      <c r="H77" s="6">
        <v>46113</v>
      </c>
      <c r="I77" s="9">
        <v>373524</v>
      </c>
      <c r="J77" s="9">
        <v>6800</v>
      </c>
      <c r="K77" s="9">
        <v>6800</v>
      </c>
      <c r="L77" s="9">
        <v>373524</v>
      </c>
      <c r="N77" s="5" t="s">
        <v>149</v>
      </c>
      <c r="O77" t="s">
        <v>165</v>
      </c>
      <c r="P77">
        <f t="shared" si="1"/>
        <v>0</v>
      </c>
    </row>
    <row r="78" spans="1:16" x14ac:dyDescent="0.3">
      <c r="A78" s="5">
        <v>658585</v>
      </c>
      <c r="B78" s="6">
        <v>46026</v>
      </c>
      <c r="C78" s="7">
        <v>46026.963368055556</v>
      </c>
      <c r="D78" s="5" t="s">
        <v>305</v>
      </c>
      <c r="E78" s="8">
        <v>95.55</v>
      </c>
      <c r="F78" s="5" t="s">
        <v>79</v>
      </c>
      <c r="G78" s="5" t="s">
        <v>306</v>
      </c>
      <c r="H78" s="6">
        <v>46113</v>
      </c>
      <c r="I78" s="9">
        <v>42997.5</v>
      </c>
      <c r="J78" s="8">
        <v>450</v>
      </c>
      <c r="K78" s="8">
        <v>450</v>
      </c>
      <c r="L78" s="9">
        <v>42997.5</v>
      </c>
      <c r="N78" s="5" t="s">
        <v>150</v>
      </c>
      <c r="O78" t="s">
        <v>165</v>
      </c>
      <c r="P78">
        <f t="shared" si="1"/>
        <v>0</v>
      </c>
    </row>
    <row r="79" spans="1:16" x14ac:dyDescent="0.3">
      <c r="A79" s="5">
        <v>658585</v>
      </c>
      <c r="B79" s="6">
        <v>46026</v>
      </c>
      <c r="C79" s="7">
        <v>46026.963368055556</v>
      </c>
      <c r="D79" s="5" t="s">
        <v>307</v>
      </c>
      <c r="E79" s="8">
        <v>1</v>
      </c>
      <c r="F79" s="5" t="s">
        <v>308</v>
      </c>
      <c r="G79" s="5"/>
      <c r="H79" s="6">
        <v>46113</v>
      </c>
      <c r="I79" s="9">
        <v>127655.16</v>
      </c>
      <c r="J79" s="9">
        <v>127655.16</v>
      </c>
      <c r="K79" s="9">
        <v>127655.16</v>
      </c>
      <c r="L79" s="9">
        <v>127655.16</v>
      </c>
      <c r="N7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Data</vt:lpstr>
      <vt:lpstr>LH Holding</vt:lpstr>
      <vt:lpstr>Price &amp; Other Market Data</vt:lpstr>
      <vt:lpstr>LH_Holding_Custody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Prasad B</dc:creator>
  <cp:lastModifiedBy>Guru Prasad B</cp:lastModifiedBy>
  <dcterms:created xsi:type="dcterms:W3CDTF">2026-04-09T21:44:11Z</dcterms:created>
  <dcterms:modified xsi:type="dcterms:W3CDTF">2026-04-09T22:41:44Z</dcterms:modified>
</cp:coreProperties>
</file>